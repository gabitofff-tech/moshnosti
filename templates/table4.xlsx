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K:\ПТК\ОТС\Технологическая служба\Габитов Д.С\Отчеты для ГД\Отчет по производственным мощностям\Гранит\Гранит\Новые расчеты производственных мощностей\Новые расчеты\Реалистические\Для\"/>
    </mc:Choice>
  </mc:AlternateContent>
  <bookViews>
    <workbookView xWindow="-120" yWindow="-120" windowWidth="29040" windowHeight="15840"/>
  </bookViews>
  <sheets>
    <sheet name="2025" sheetId="1" r:id="rId1"/>
  </sheets>
  <definedNames>
    <definedName name="WorkRange">'2025'!$A$10:$J$13</definedName>
    <definedName name="_xlnm.Print_Area" localSheetId="0">'2025'!$A$1:$J$16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11" i="1" l="1"/>
  <c r="I11" i="1" l="1"/>
  <c r="E11" i="1"/>
</calcChain>
</file>

<file path=xl/sharedStrings.xml><?xml version="1.0" encoding="utf-8"?>
<sst xmlns="http://schemas.openxmlformats.org/spreadsheetml/2006/main" count="22" uniqueCount="16">
  <si>
    <t>1 смена</t>
  </si>
  <si>
    <t>2 смены</t>
  </si>
  <si>
    <t>3 смены</t>
  </si>
  <si>
    <t>Изделие</t>
  </si>
  <si>
    <t>Программа  выпуска, шт.</t>
  </si>
  <si>
    <t>№ п/п</t>
  </si>
  <si>
    <t>Примечание</t>
  </si>
  <si>
    <r>
      <rPr>
        <b/>
        <i/>
        <sz val="10"/>
        <rFont val="Times New Roman"/>
        <family val="1"/>
        <charset val="204"/>
      </rPr>
      <t>K</t>
    </r>
    <r>
      <rPr>
        <b/>
        <sz val="9"/>
        <rFont val="Times New Roman"/>
        <family val="1"/>
        <charset val="204"/>
      </rPr>
      <t>з</t>
    </r>
    <r>
      <rPr>
        <b/>
        <i/>
        <sz val="6"/>
        <rFont val="Times New Roman"/>
        <family val="1"/>
        <charset val="204"/>
      </rPr>
      <t>max</t>
    </r>
  </si>
  <si>
    <r>
      <rPr>
        <b/>
        <i/>
        <sz val="10"/>
        <rFont val="Times New Roman"/>
        <family val="1"/>
        <charset val="204"/>
      </rPr>
      <t>M,</t>
    </r>
    <r>
      <rPr>
        <b/>
        <sz val="10"/>
        <rFont val="Times New Roman"/>
        <family val="1"/>
        <charset val="204"/>
      </rPr>
      <t xml:space="preserve"> шт.</t>
    </r>
  </si>
  <si>
    <t>Разработал:</t>
  </si>
  <si>
    <t>УТВЕРЖДАЮ</t>
  </si>
  <si>
    <t>Должность</t>
  </si>
  <si>
    <t>______________________ ФИО</t>
  </si>
  <si>
    <t>"______" _____________________ год</t>
  </si>
  <si>
    <t>ФИО</t>
  </si>
  <si>
    <t>Расчёт производственной мощности на год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</si>
</sst>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Red][&gt;0.85]#.##;0.00"/>
    <numFmt numFmtId="165" formatCode="[Color4]#,##0;[Red]\-#,##0"/>
  </numFmts>
  <fonts count="12" x14ac:knownFonts="1">
    <font>
      <sz val="11"/>
      <color theme="1"/>
      <name val="Calibri"/>
      <family val="2"/>
      <charset val="204"/>
      <scheme val="minor"/>
    </font>
    <font>
      <sz val="11"/>
      <color rgb="FFFF0000"/>
      <name val="Sylfaen"/>
      <family val="1"/>
      <charset val="204"/>
    </font>
    <font>
      <sz val="11"/>
      <name val="Sylfaen"/>
      <family val="1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b/>
      <sz val="8"/>
      <name val="Times New Roman"/>
      <family val="1"/>
      <charset val="204"/>
    </font>
    <font>
      <sz val="10"/>
      <color rgb="FFFF0000"/>
      <name val="Arial Narrow"/>
      <family val="2"/>
      <charset val="204"/>
    </font>
    <font>
      <b/>
      <i/>
      <sz val="10"/>
      <name val="Times New Roman"/>
      <family val="1"/>
      <charset val="204"/>
    </font>
    <font>
      <b/>
      <i/>
      <sz val="6"/>
      <name val="Times New Roman"/>
      <family val="1"/>
      <charset val="204"/>
    </font>
    <font>
      <b/>
      <sz val="9"/>
      <name val="Times New Roman"/>
      <family val="1"/>
      <charset val="204"/>
    </font>
    <font>
      <b/>
      <sz val="18"/>
      <name val="Times New Roman"/>
      <family val="1"/>
      <charset val="204"/>
    </font>
    <font>
      <sz val="12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medium">
        <color auto="1"/>
      </left>
      <right style="medium">
        <color indexed="64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5" fontId="1" fillId="2" borderId="3" applyBorder="0">
      <protection hidden="1"/>
    </xf>
    <xf numFmtId="164" fontId="2" fillId="2" borderId="0" applyBorder="0"/>
  </cellStyleXfs>
  <cellXfs count="25">
    <xf numFmtId="0" fontId="0" fillId="0" borderId="0" xfId="0"/>
    <xf numFmtId="0" fontId="3" fillId="0" borderId="1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/>
    </xf>
    <xf numFmtId="0" fontId="4" fillId="0" borderId="6" xfId="0" applyFont="1" applyFill="1" applyBorder="1" applyAlignment="1" applyProtection="1">
      <alignment vertical="center"/>
      <protection locked="0" hidden="1"/>
    </xf>
    <xf numFmtId="0" fontId="6" fillId="0" borderId="0" xfId="0" applyFont="1" applyFill="1" applyAlignment="1">
      <alignment vertical="center"/>
    </xf>
    <xf numFmtId="0" fontId="5" fillId="0" borderId="4" xfId="0" applyNumberFormat="1" applyFont="1" applyFill="1" applyBorder="1" applyAlignment="1">
      <alignment horizontal="center" vertical="center"/>
    </xf>
    <xf numFmtId="0" fontId="5" fillId="0" borderId="5" xfId="0" applyNumberFormat="1" applyFont="1" applyFill="1" applyBorder="1" applyAlignment="1">
      <alignment horizontal="center" vertical="center"/>
    </xf>
    <xf numFmtId="0" fontId="3" fillId="0" borderId="12" xfId="0" applyFont="1" applyFill="1" applyBorder="1" applyAlignment="1">
      <alignment horizontal="center" vertical="center" wrapText="1"/>
    </xf>
    <xf numFmtId="0" fontId="11" fillId="0" borderId="0" xfId="0" applyFont="1" applyFill="1" applyAlignment="1">
      <alignment vertical="center" wrapText="1"/>
    </xf>
    <xf numFmtId="0" fontId="11" fillId="0" borderId="0" xfId="0" applyFont="1"/>
    <xf numFmtId="0" fontId="11" fillId="0" borderId="0" xfId="0" applyFont="1" applyFill="1" applyAlignment="1">
      <alignment wrapText="1"/>
    </xf>
    <xf numFmtId="0" fontId="4" fillId="0" borderId="13" xfId="0" applyFont="1" applyFill="1" applyBorder="1" applyAlignment="1" applyProtection="1">
      <alignment vertical="center"/>
      <protection locked="0" hidden="1"/>
    </xf>
    <xf numFmtId="0" fontId="5" fillId="0" borderId="14" xfId="0" applyNumberFormat="1" applyFont="1" applyFill="1" applyBorder="1" applyAlignment="1">
      <alignment horizontal="center" vertical="center"/>
    </xf>
    <xf numFmtId="4" fontId="4" fillId="0" borderId="15" xfId="0" applyNumberFormat="1" applyFont="1" applyFill="1" applyBorder="1" applyAlignment="1" applyProtection="1">
      <alignment vertical="center"/>
      <protection locked="0" hidden="1"/>
    </xf>
    <xf numFmtId="3" fontId="4" fillId="2" borderId="16" xfId="0" applyNumberFormat="1" applyFont="1" applyFill="1" applyBorder="1" applyAlignment="1" applyProtection="1">
      <alignment horizontal="right" vertical="center"/>
      <protection locked="0" hidden="1"/>
    </xf>
    <xf numFmtId="0" fontId="4" fillId="0" borderId="13" xfId="0" applyFont="1" applyFill="1" applyBorder="1" applyAlignment="1" applyProtection="1">
      <alignment vertical="center"/>
      <protection locked="0"/>
    </xf>
    <xf numFmtId="0" fontId="4" fillId="0" borderId="13" xfId="0" applyFont="1" applyFill="1" applyBorder="1" applyAlignment="1" applyProtection="1">
      <alignment horizontal="center" vertical="center"/>
      <protection locked="0" hidden="1"/>
    </xf>
    <xf numFmtId="0" fontId="10" fillId="0" borderId="0" xfId="0" applyFont="1" applyFill="1" applyAlignment="1">
      <alignment horizontal="center" vertical="distributed"/>
    </xf>
    <xf numFmtId="0" fontId="3" fillId="0" borderId="8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 wrapText="1"/>
    </xf>
    <xf numFmtId="0" fontId="3" fillId="0" borderId="9" xfId="0" applyFont="1" applyFill="1" applyBorder="1" applyAlignment="1">
      <alignment horizontal="center" vertical="center" wrapText="1"/>
    </xf>
    <xf numFmtId="0" fontId="3" fillId="0" borderId="10" xfId="0" applyFont="1" applyFill="1" applyBorder="1" applyAlignment="1">
      <alignment horizontal="center" vertical="center" wrapText="1"/>
    </xf>
    <xf numFmtId="0" fontId="3" fillId="0" borderId="11" xfId="0" applyFont="1" applyFill="1" applyBorder="1" applyAlignment="1">
      <alignment horizontal="center" vertical="center" wrapText="1"/>
    </xf>
  </cellXfs>
  <cellStyles count="3">
    <cellStyle name="БалансОборудования" xfId="1"/>
    <cellStyle name="КоэффициентЗагрузки" xfId="2"/>
    <cellStyle name="Обычный" xfId="0" builtinId="0"/>
  </cellStyles>
  <dxfs count="3"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ill>
        <patternFill patternType="none"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thin">
          <color auto="1"/>
        </vertical>
        <horizontal style="thin">
          <color auto="1"/>
        </horizontal>
      </border>
    </dxf>
  </dxfs>
  <tableStyles count="1" defaultTableStyle="TableStyleMedium2" defaultPivotStyle="PivotStyleLight16">
    <tableStyle name="Стиль таблицы 1" pivot="0" count="3">
      <tableStyleElement type="wholeTable" dxfId="2"/>
      <tableStyleElement type="headerRow" dxfId="1"/>
      <tableStyleElement type="totalRow" dxfId="0"/>
    </tableStyle>
  </tableStyles>
  <colors>
    <mruColors>
      <color rgb="FF66FF33"/>
      <color rgb="FF00CC00"/>
      <color rgb="FF00FF00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5"/>
  <sheetViews>
    <sheetView tabSelected="1" view="pageBreakPreview" zoomScaleNormal="115" zoomScaleSheetLayoutView="100" workbookViewId="0">
      <selection activeCell="A7" sqref="A7:J7"/>
    </sheetView>
  </sheetViews>
  <sheetFormatPr defaultRowHeight="15" x14ac:dyDescent="0.25"/>
  <cols>
    <col min="1" max="1" width="5" customWidth="1"/>
    <col min="2" max="2" width="33.5703125" customWidth="1"/>
    <col min="3" max="3" width="15.42578125" customWidth="1"/>
    <col min="4" max="4" width="8.5703125" customWidth="1"/>
    <col min="5" max="5" width="12.5703125" customWidth="1"/>
    <col min="6" max="6" width="8.5703125" customWidth="1"/>
    <col min="7" max="7" width="12.5703125" customWidth="1"/>
    <col min="8" max="8" width="8.5703125" customWidth="1"/>
    <col min="9" max="9" width="12.5703125" customWidth="1"/>
    <col min="10" max="10" width="13.5703125" customWidth="1"/>
  </cols>
  <sheetData>
    <row r="1" spans="1:10" ht="24.75" customHeight="1" x14ac:dyDescent="0.25">
      <c r="B1" s="9" t="s">
        <v>10</v>
      </c>
      <c r="C1" s="9"/>
      <c r="D1" s="9"/>
    </row>
    <row r="2" spans="1:10" ht="18" customHeight="1" x14ac:dyDescent="0.25">
      <c r="B2" s="9" t="s">
        <v>11</v>
      </c>
      <c r="C2" s="9"/>
      <c r="D2" s="9"/>
    </row>
    <row r="3" spans="1:10" ht="18" customHeight="1" x14ac:dyDescent="0.25">
      <c r="B3" s="9"/>
      <c r="C3" s="9"/>
      <c r="D3" s="9"/>
    </row>
    <row r="4" spans="1:10" ht="18.75" customHeight="1" x14ac:dyDescent="0.25">
      <c r="B4" s="9" t="s">
        <v>12</v>
      </c>
      <c r="C4" s="9"/>
      <c r="D4" s="9"/>
    </row>
    <row r="5" spans="1:10" ht="18" customHeight="1" x14ac:dyDescent="0.25">
      <c r="B5" s="9" t="s">
        <v>13</v>
      </c>
      <c r="C5" s="9"/>
      <c r="D5" s="9"/>
    </row>
    <row r="6" spans="1:10" ht="16.5" customHeight="1" x14ac:dyDescent="0.25"/>
    <row r="7" spans="1:10" ht="35.25" customHeight="1" thickBot="1" x14ac:dyDescent="0.3">
      <c r="A7" s="17" t="s">
        <v>15</v>
      </c>
      <c r="B7" s="17"/>
      <c r="C7" s="17"/>
      <c r="D7" s="17"/>
      <c r="E7" s="17"/>
      <c r="F7" s="17"/>
      <c r="G7" s="17"/>
      <c r="H7" s="17"/>
      <c r="I7" s="17"/>
      <c r="J7" s="17"/>
    </row>
    <row r="8" spans="1:10" ht="24.4" customHeight="1" x14ac:dyDescent="0.25">
      <c r="A8" s="18" t="s">
        <v>5</v>
      </c>
      <c r="B8" s="20" t="s">
        <v>3</v>
      </c>
      <c r="C8" s="20" t="s">
        <v>4</v>
      </c>
      <c r="D8" s="22" t="s">
        <v>0</v>
      </c>
      <c r="E8" s="23"/>
      <c r="F8" s="22" t="s">
        <v>1</v>
      </c>
      <c r="G8" s="23"/>
      <c r="H8" s="24" t="s">
        <v>2</v>
      </c>
      <c r="I8" s="23"/>
      <c r="J8" s="18" t="s">
        <v>6</v>
      </c>
    </row>
    <row r="9" spans="1:10" ht="24.4" customHeight="1" thickBot="1" x14ac:dyDescent="0.3">
      <c r="A9" s="19"/>
      <c r="B9" s="21"/>
      <c r="C9" s="21"/>
      <c r="D9" s="7" t="s">
        <v>7</v>
      </c>
      <c r="E9" s="1" t="s">
        <v>8</v>
      </c>
      <c r="F9" s="7" t="s">
        <v>7</v>
      </c>
      <c r="G9" s="1" t="s">
        <v>8</v>
      </c>
      <c r="H9" s="7" t="s">
        <v>7</v>
      </c>
      <c r="I9" s="1" t="s">
        <v>8</v>
      </c>
      <c r="J9" s="19"/>
    </row>
    <row r="10" spans="1:10" ht="24.4" customHeight="1" x14ac:dyDescent="0.25">
      <c r="A10" s="6">
        <v>1</v>
      </c>
      <c r="B10" s="6">
        <v>2</v>
      </c>
      <c r="C10" s="6">
        <v>3</v>
      </c>
      <c r="D10" s="5">
        <v>4</v>
      </c>
      <c r="E10" s="12">
        <v>5</v>
      </c>
      <c r="F10" s="5">
        <v>6</v>
      </c>
      <c r="G10" s="12">
        <v>7</v>
      </c>
      <c r="H10" s="5">
        <v>8</v>
      </c>
      <c r="I10" s="12">
        <v>9</v>
      </c>
      <c r="J10" s="2">
        <v>10</v>
      </c>
    </row>
    <row r="11" spans="1:10" x14ac:dyDescent="0.25">
      <c r="A11" s="16">
        <v>1</v>
      </c>
      <c r="B11" s="15" t="s">
        <v>3</v>
      </c>
      <c r="C11" s="11">
        <v>100000</v>
      </c>
      <c r="D11" s="13">
        <v>2.0299999999999998</v>
      </c>
      <c r="E11" s="14" t="str">
        <f t="shared" ref="E11" si="0" xml:space="preserve">   IFERROR(  TEXT( ROUND(   (   $C11/$D11  )  *0.95,0),"Основной"), "")</f>
        <v>46798</v>
      </c>
      <c r="F11" s="13">
        <v>1.04</v>
      </c>
      <c r="G11" s="14" t="str">
        <f t="shared" ref="G11" si="1" xml:space="preserve">   IFERROR(  TEXT( ROUND(   (   $C11/$F11  )  *0.95,0),"Основной"), "")</f>
        <v>91346</v>
      </c>
      <c r="H11" s="13">
        <v>0.75</v>
      </c>
      <c r="I11" s="14" t="str">
        <f t="shared" ref="I11" si="2" xml:space="preserve">   IFERROR(  TEXT( ROUND(   (   $C11/$H11  )  *0.95,0),"Основной"), "")</f>
        <v>126667</v>
      </c>
      <c r="J11" s="3"/>
    </row>
    <row r="13" spans="1:10" ht="15.75" x14ac:dyDescent="0.25">
      <c r="B13" s="8" t="s">
        <v>9</v>
      </c>
      <c r="C13" s="9"/>
      <c r="D13" s="9"/>
      <c r="E13" s="9"/>
      <c r="F13" s="9"/>
    </row>
    <row r="14" spans="1:10" ht="15.75" x14ac:dyDescent="0.25">
      <c r="B14" s="10" t="s">
        <v>11</v>
      </c>
      <c r="C14" s="9"/>
      <c r="D14" s="9"/>
      <c r="E14" s="9"/>
      <c r="F14" s="9" t="s">
        <v>14</v>
      </c>
    </row>
    <row r="15" spans="1:10" x14ac:dyDescent="0.25">
      <c r="B15" s="4"/>
    </row>
  </sheetData>
  <sheetProtection insertColumns="0" insertRows="0" deleteColumns="0" deleteRows="0" sort="0" autoFilter="0" pivotTables="0"/>
  <mergeCells count="8">
    <mergeCell ref="A7:J7"/>
    <mergeCell ref="J8:J9"/>
    <mergeCell ref="A8:A9"/>
    <mergeCell ref="B8:B9"/>
    <mergeCell ref="C8:C9"/>
    <mergeCell ref="D8:E8"/>
    <mergeCell ref="F8:G8"/>
    <mergeCell ref="H8:I8"/>
  </mergeCells>
  <dataValidations count="2">
    <dataValidation type="custom" allowBlank="1" showErrorMessage="1" errorTitle="Ошибка ввода данных" error="Допускается ввод только числовых значений!" sqref="C11:D11 F11 H11">
      <formula1>ISNUMBER(C11)</formula1>
    </dataValidation>
    <dataValidation type="whole" allowBlank="1" showInputMessage="1" showErrorMessage="1" sqref="A11">
      <formula1>1</formula1>
      <formula2>1000000000</formula2>
    </dataValidation>
  </dataValidations>
  <printOptions horizontalCentered="1"/>
  <pageMargins left="0.78740157480314965" right="0.59055118110236227" top="0.59055118110236227" bottom="0.59055118110236227" header="0.31496062992125984" footer="0.31496062992125984"/>
  <pageSetup paperSize="9" fitToHeight="0" orientation="landscape" r:id="rId1"/>
  <headerFooter>
    <oddHeader>&amp;R&amp;"Times New Roman,полужирный"&amp;12ПРИЛОЖЕНИЕ Г
Таблица 4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2025</vt:lpstr>
      <vt:lpstr>WorkRange</vt:lpstr>
      <vt:lpstr>'2025'!Область_печати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Сергей Владимирович Смирнов</dc:creator>
  <cp:lastModifiedBy>Габитов Дмитрий Сергеевич</cp:lastModifiedBy>
  <cp:lastPrinted>2024-06-14T12:39:22Z</cp:lastPrinted>
  <dcterms:created xsi:type="dcterms:W3CDTF">2023-10-09T06:31:28Z</dcterms:created>
  <dcterms:modified xsi:type="dcterms:W3CDTF">2026-10-26T11:16:09Z</dcterms:modified>
</cp:coreProperties>
</file>