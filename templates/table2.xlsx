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ПТК\ОТС\Технологическая служба\Габитов Д.С\Отчеты для ГД\Отчет по производственным мощностям\Гранит\Гранит\Новые расчеты производственных мощностей\Новые расчеты\Реалистические\Для\"/>
    </mc:Choice>
  </mc:AlternateContent>
  <bookViews>
    <workbookView xWindow="28680" yWindow="-120" windowWidth="29040" windowHeight="15840"/>
  </bookViews>
  <sheets>
    <sheet name="2026" sheetId="3" r:id="rId1"/>
  </sheets>
  <definedNames>
    <definedName name="_xlnm.Print_Area" localSheetId="0">'2026'!$A$1:$K$28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9" i="3" l="1"/>
  <c r="J19" i="3" s="1"/>
  <c r="H17" i="3"/>
  <c r="J17" i="3" s="1"/>
  <c r="F15" i="3"/>
  <c r="H15" i="3" s="1"/>
  <c r="F13" i="3"/>
  <c r="H13" i="3" s="1"/>
  <c r="H12" i="3"/>
  <c r="J12" i="3" s="1"/>
  <c r="H11" i="3"/>
  <c r="J11" i="3" s="1"/>
  <c r="H14" i="3" l="1"/>
  <c r="J14" i="3" s="1"/>
  <c r="J13" i="3"/>
  <c r="H16" i="3"/>
  <c r="J16" i="3" s="1"/>
  <c r="J15" i="3"/>
  <c r="H18" i="3"/>
  <c r="H20" i="3" l="1"/>
  <c r="J20" i="3" s="1"/>
  <c r="J18" i="3"/>
</calcChain>
</file>

<file path=xl/sharedStrings.xml><?xml version="1.0" encoding="utf-8"?>
<sst xmlns="http://schemas.openxmlformats.org/spreadsheetml/2006/main" count="38" uniqueCount="30">
  <si>
    <t>№ п/п</t>
  </si>
  <si>
    <t>Примечание</t>
  </si>
  <si>
    <t>Вид (модель) оборудования *</t>
  </si>
  <si>
    <r>
      <t xml:space="preserve">* </t>
    </r>
    <r>
      <rPr>
        <sz val="11"/>
        <color theme="1"/>
        <rFont val="Calibri"/>
        <family val="2"/>
        <charset val="204"/>
      </rPr>
      <t>— степень детализации зависит от задачи (расчёт по моделям, по типоразмерам, по группам и т. д.)</t>
    </r>
  </si>
  <si>
    <t>Номер детали</t>
  </si>
  <si>
    <t>И т. д.</t>
  </si>
  <si>
    <t>Всего:</t>
  </si>
  <si>
    <t>Кол-во на изделие,
ед.</t>
  </si>
  <si>
    <t>Трудоёмкость на 1 изд.,
ст-час</t>
  </si>
  <si>
    <t>Трудоёмкость на программу,
ст-час</t>
  </si>
  <si>
    <t>Трудоёмкость на 1 дет.,
ст-час</t>
  </si>
  <si>
    <t>Суммарная трудоёмкость,
ст-час</t>
  </si>
  <si>
    <t>Программа выпуска изделий,
ед.</t>
  </si>
  <si>
    <t>Изделие</t>
  </si>
  <si>
    <t>УТВЕРЖДАЮ</t>
  </si>
  <si>
    <t>Разработал:</t>
  </si>
  <si>
    <t xml:space="preserve">Технолог   </t>
  </si>
  <si>
    <t>Д.С. Габитов</t>
  </si>
  <si>
    <t>5.</t>
  </si>
  <si>
    <t>4.</t>
  </si>
  <si>
    <t>УМПБ.0000.0000.00 "Посылка"</t>
  </si>
  <si>
    <t>Расчёт суммарной трудоёмкости по видам оборудования на 2026 год</t>
  </si>
  <si>
    <t>Оборудование1</t>
  </si>
  <si>
    <t>Оборудование2</t>
  </si>
  <si>
    <t>Оборудование3</t>
  </si>
  <si>
    <t>Оборудование4</t>
  </si>
  <si>
    <t>Оборудование5</t>
  </si>
  <si>
    <t>Должность</t>
  </si>
  <si>
    <t>______________________ ФИО</t>
  </si>
  <si>
    <t>"______" _____________________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</si>
</sst>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.&quot;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Arial Narrow"/>
      <family val="2"/>
      <charset val="204"/>
    </font>
    <font>
      <sz val="11"/>
      <color rgb="FFFF00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center" vertical="center"/>
    </xf>
    <xf numFmtId="0" fontId="5" fillId="0" borderId="24" xfId="0" applyNumberFormat="1" applyFont="1" applyFill="1" applyBorder="1" applyAlignment="1">
      <alignment horizontal="center" vertical="center"/>
    </xf>
    <xf numFmtId="0" fontId="5" fillId="0" borderId="25" xfId="0" applyNumberFormat="1" applyFont="1" applyFill="1" applyBorder="1" applyAlignment="1">
      <alignment horizontal="center" vertical="center"/>
    </xf>
    <xf numFmtId="0" fontId="5" fillId="0" borderId="26" xfId="0" applyNumberFormat="1" applyFont="1" applyFill="1" applyBorder="1" applyAlignment="1">
      <alignment horizontal="center" vertical="center"/>
    </xf>
    <xf numFmtId="0" fontId="5" fillId="0" borderId="28" xfId="0" applyNumberFormat="1" applyFont="1" applyFill="1" applyBorder="1" applyAlignment="1">
      <alignment horizontal="center" vertical="center"/>
    </xf>
    <xf numFmtId="0" fontId="5" fillId="0" borderId="27" xfId="0" applyNumberFormat="1" applyFont="1" applyFill="1" applyBorder="1" applyAlignment="1">
      <alignment horizontal="center" vertical="center"/>
    </xf>
    <xf numFmtId="164" fontId="6" fillId="0" borderId="13" xfId="0" applyNumberFormat="1" applyFont="1" applyFill="1" applyBorder="1"/>
    <xf numFmtId="0" fontId="6" fillId="0" borderId="13" xfId="0" applyFont="1" applyFill="1" applyBorder="1"/>
    <xf numFmtId="0" fontId="6" fillId="0" borderId="17" xfId="0" applyFont="1" applyFill="1" applyBorder="1"/>
    <xf numFmtId="0" fontId="6" fillId="0" borderId="17" xfId="0" applyNumberFormat="1" applyFont="1" applyFill="1" applyBorder="1"/>
    <xf numFmtId="0" fontId="6" fillId="2" borderId="17" xfId="0" applyFont="1" applyFill="1" applyBorder="1"/>
    <xf numFmtId="0" fontId="6" fillId="2" borderId="15" xfId="0" applyFont="1" applyFill="1" applyBorder="1"/>
    <xf numFmtId="0" fontId="6" fillId="0" borderId="21" xfId="0" applyFont="1" applyFill="1" applyBorder="1"/>
    <xf numFmtId="0" fontId="6" fillId="0" borderId="12" xfId="0" applyFont="1" applyFill="1" applyBorder="1"/>
    <xf numFmtId="0" fontId="6" fillId="0" borderId="18" xfId="0" applyFont="1" applyFill="1" applyBorder="1"/>
    <xf numFmtId="0" fontId="6" fillId="0" borderId="11" xfId="0" applyFont="1" applyFill="1" applyBorder="1"/>
    <xf numFmtId="0" fontId="6" fillId="0" borderId="19" xfId="0" applyFont="1" applyFill="1" applyBorder="1"/>
    <xf numFmtId="0" fontId="5" fillId="0" borderId="19" xfId="0" applyFont="1" applyFill="1" applyBorder="1" applyAlignment="1">
      <alignment horizontal="right"/>
    </xf>
    <xf numFmtId="0" fontId="6" fillId="0" borderId="20" xfId="0" applyFont="1" applyFill="1" applyBorder="1"/>
    <xf numFmtId="0" fontId="5" fillId="2" borderId="20" xfId="0" applyFont="1" applyFill="1" applyBorder="1"/>
    <xf numFmtId="0" fontId="5" fillId="2" borderId="6" xfId="0" applyFont="1" applyFill="1" applyBorder="1"/>
    <xf numFmtId="0" fontId="6" fillId="0" borderId="14" xfId="0" applyFont="1" applyFill="1" applyBorder="1"/>
    <xf numFmtId="0" fontId="6" fillId="0" borderId="8" xfId="0" applyFont="1" applyFill="1" applyBorder="1"/>
    <xf numFmtId="0" fontId="6" fillId="0" borderId="10" xfId="0" applyFont="1" applyFill="1" applyBorder="1"/>
    <xf numFmtId="0" fontId="6" fillId="0" borderId="22" xfId="0" applyFont="1" applyFill="1" applyBorder="1"/>
    <xf numFmtId="0" fontId="6" fillId="0" borderId="22" xfId="0" applyNumberFormat="1" applyFont="1" applyFill="1" applyBorder="1"/>
    <xf numFmtId="0" fontId="6" fillId="2" borderId="22" xfId="0" applyFont="1" applyFill="1" applyBorder="1"/>
    <xf numFmtId="0" fontId="6" fillId="2" borderId="23" xfId="0" applyFont="1" applyFill="1" applyBorder="1"/>
    <xf numFmtId="0" fontId="6" fillId="0" borderId="0" xfId="0" applyFont="1" applyFill="1" applyBorder="1"/>
    <xf numFmtId="0" fontId="6" fillId="0" borderId="9" xfId="0" applyFont="1" applyFill="1" applyBorder="1"/>
    <xf numFmtId="0" fontId="4" fillId="0" borderId="0" xfId="0" applyFont="1" applyAlignment="1">
      <alignment horizontal="right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164" fontId="6" fillId="0" borderId="13" xfId="0" applyNumberFormat="1" applyFont="1" applyFill="1" applyBorder="1" applyAlignment="1">
      <alignment horizontal="right"/>
    </xf>
    <xf numFmtId="0" fontId="5" fillId="0" borderId="35" xfId="0" applyNumberFormat="1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тиль таблицы 1" pivot="0" count="3">
      <tableStyleElement type="wholeTable" dxfId="3"/>
      <tableStyleElement type="headerRow" dxfId="2"/>
      <tableStyleElement type="totalRow" dxfId="1"/>
    </tableStyle>
  </tableStyles>
  <colors>
    <mruColors>
      <color rgb="FF66FF33"/>
      <color rgb="FF00FF00"/>
      <color rgb="FF00CC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Views>
    <sheetView tabSelected="1" view="pageBreakPreview" zoomScale="60" zoomScaleNormal="55" zoomScalePageLayoutView="40" workbookViewId="0">
      <selection activeCell="H22" sqref="H22"/>
    </sheetView>
  </sheetViews>
  <sheetFormatPr defaultRowHeight="15" x14ac:dyDescent="0.25"/>
  <cols>
    <col min="1" max="1" width="5" customWidth="1"/>
    <col min="2" max="2" width="46.7109375" customWidth="1"/>
    <col min="3" max="3" width="11.42578125" customWidth="1"/>
    <col min="4" max="4" width="11" customWidth="1"/>
    <col min="5" max="5" width="16.42578125" customWidth="1"/>
    <col min="6" max="6" width="16.5703125" customWidth="1"/>
    <col min="7" max="7" width="14.7109375" customWidth="1"/>
    <col min="8" max="8" width="16.5703125" customWidth="1"/>
    <col min="10" max="10" width="29.42578125" bestFit="1" customWidth="1"/>
    <col min="11" max="11" width="14.5703125" customWidth="1"/>
  </cols>
  <sheetData>
    <row r="1" spans="1:11" ht="35.1" customHeight="1" x14ac:dyDescent="0.3">
      <c r="B1" s="36" t="s">
        <v>14</v>
      </c>
      <c r="C1" s="2"/>
      <c r="D1" s="2"/>
    </row>
    <row r="2" spans="1:11" ht="25.5" customHeight="1" x14ac:dyDescent="0.3">
      <c r="B2" s="39" t="s">
        <v>27</v>
      </c>
      <c r="C2" s="2"/>
      <c r="D2" s="2"/>
    </row>
    <row r="3" spans="1:11" ht="27.75" customHeight="1" x14ac:dyDescent="0.3">
      <c r="B3" s="39"/>
      <c r="C3" s="2"/>
      <c r="D3" s="2"/>
    </row>
    <row r="4" spans="1:11" ht="25.5" customHeight="1" x14ac:dyDescent="0.3">
      <c r="B4" s="39" t="s">
        <v>28</v>
      </c>
      <c r="C4" s="2"/>
      <c r="D4" s="2"/>
    </row>
    <row r="5" spans="1:11" ht="26.25" customHeight="1" x14ac:dyDescent="0.3">
      <c r="B5" s="39" t="s">
        <v>29</v>
      </c>
      <c r="C5" s="2"/>
      <c r="D5" s="2"/>
    </row>
    <row r="6" spans="1:11" ht="33" customHeight="1" thickBot="1" x14ac:dyDescent="0.35">
      <c r="B6" s="36"/>
      <c r="C6" s="2"/>
      <c r="D6" s="2"/>
    </row>
    <row r="7" spans="1:11" ht="33" customHeight="1" thickBot="1" x14ac:dyDescent="0.3">
      <c r="A7" s="42" t="s">
        <v>21</v>
      </c>
      <c r="B7" s="43"/>
      <c r="C7" s="43"/>
      <c r="D7" s="43"/>
      <c r="E7" s="43"/>
      <c r="F7" s="43"/>
      <c r="G7" s="43"/>
      <c r="H7" s="43"/>
      <c r="I7" s="43"/>
      <c r="J7" s="43"/>
      <c r="K7" s="44"/>
    </row>
    <row r="8" spans="1:11" ht="44.25" customHeight="1" x14ac:dyDescent="0.25">
      <c r="A8" s="47" t="s">
        <v>0</v>
      </c>
      <c r="B8" s="47" t="s">
        <v>2</v>
      </c>
      <c r="C8" s="49" t="s">
        <v>20</v>
      </c>
      <c r="D8" s="50"/>
      <c r="E8" s="50"/>
      <c r="F8" s="50"/>
      <c r="G8" s="50"/>
      <c r="H8" s="51"/>
      <c r="I8" s="52" t="s">
        <v>5</v>
      </c>
      <c r="J8" s="54" t="s">
        <v>11</v>
      </c>
      <c r="K8" s="45" t="s">
        <v>1</v>
      </c>
    </row>
    <row r="9" spans="1:11" ht="70.5" customHeight="1" thickBot="1" x14ac:dyDescent="0.3">
      <c r="A9" s="48"/>
      <c r="B9" s="48"/>
      <c r="C9" s="3" t="s">
        <v>4</v>
      </c>
      <c r="D9" s="4" t="s">
        <v>7</v>
      </c>
      <c r="E9" s="4" t="s">
        <v>10</v>
      </c>
      <c r="F9" s="4" t="s">
        <v>8</v>
      </c>
      <c r="G9" s="4" t="s">
        <v>12</v>
      </c>
      <c r="H9" s="5" t="s">
        <v>9</v>
      </c>
      <c r="I9" s="53"/>
      <c r="J9" s="55"/>
      <c r="K9" s="46"/>
    </row>
    <row r="10" spans="1:11" ht="33" customHeight="1" thickBot="1" x14ac:dyDescent="0.3">
      <c r="A10" s="6">
        <v>1</v>
      </c>
      <c r="B10" s="6">
        <v>2</v>
      </c>
      <c r="C10" s="7">
        <v>3</v>
      </c>
      <c r="D10" s="8">
        <v>4</v>
      </c>
      <c r="E10" s="8">
        <v>5</v>
      </c>
      <c r="F10" s="8">
        <v>6</v>
      </c>
      <c r="G10" s="8">
        <v>7</v>
      </c>
      <c r="H10" s="9">
        <v>8</v>
      </c>
      <c r="I10" s="41">
        <v>21</v>
      </c>
      <c r="J10" s="10">
        <v>22</v>
      </c>
      <c r="K10" s="11">
        <v>23</v>
      </c>
    </row>
    <row r="11" spans="1:11" ht="33" customHeight="1" x14ac:dyDescent="0.25">
      <c r="A11" s="12">
        <v>1</v>
      </c>
      <c r="B11" s="13" t="s">
        <v>22</v>
      </c>
      <c r="C11" s="13" t="s">
        <v>13</v>
      </c>
      <c r="D11" s="14">
        <v>1</v>
      </c>
      <c r="E11" s="15">
        <v>7.5</v>
      </c>
      <c r="F11" s="16">
        <v>7.5</v>
      </c>
      <c r="G11" s="14">
        <v>100000</v>
      </c>
      <c r="H11" s="17">
        <f xml:space="preserve"> IFERROR(  F11*G11, "")</f>
        <v>750000</v>
      </c>
      <c r="I11" s="18"/>
      <c r="J11" s="16">
        <f>H11</f>
        <v>750000</v>
      </c>
      <c r="K11" s="19"/>
    </row>
    <row r="12" spans="1:11" ht="33" customHeight="1" thickBot="1" x14ac:dyDescent="0.3">
      <c r="A12" s="22"/>
      <c r="B12" s="23" t="s">
        <v>6</v>
      </c>
      <c r="C12" s="22"/>
      <c r="D12" s="24"/>
      <c r="E12" s="24"/>
      <c r="F12" s="24"/>
      <c r="G12" s="24"/>
      <c r="H12" s="26">
        <f>SUBTOTAL(9,H11:H11)</f>
        <v>750000</v>
      </c>
      <c r="I12" s="27"/>
      <c r="J12" s="25">
        <f>SUM(C12:H12)</f>
        <v>750000</v>
      </c>
      <c r="K12" s="28"/>
    </row>
    <row r="13" spans="1:11" ht="33" customHeight="1" x14ac:dyDescent="0.25">
      <c r="A13" s="12">
        <v>2</v>
      </c>
      <c r="B13" s="29" t="s">
        <v>23</v>
      </c>
      <c r="C13" s="29" t="s">
        <v>13</v>
      </c>
      <c r="D13" s="30">
        <v>1</v>
      </c>
      <c r="E13" s="31">
        <v>3.3</v>
      </c>
      <c r="F13" s="32">
        <f t="shared" ref="F13" si="0" xml:space="preserve"> IFERROR(  D13*E13, "")</f>
        <v>3.3</v>
      </c>
      <c r="G13" s="14">
        <v>100000</v>
      </c>
      <c r="H13" s="33">
        <f t="shared" ref="H13" si="1" xml:space="preserve"> IFERROR(  F13*G13, "")</f>
        <v>330000</v>
      </c>
      <c r="I13" s="34"/>
      <c r="J13" s="16">
        <f>H13</f>
        <v>330000</v>
      </c>
      <c r="K13" s="35"/>
    </row>
    <row r="14" spans="1:11" ht="33" customHeight="1" thickBot="1" x14ac:dyDescent="0.3">
      <c r="A14" s="22"/>
      <c r="B14" s="23" t="s">
        <v>6</v>
      </c>
      <c r="C14" s="22"/>
      <c r="D14" s="24"/>
      <c r="E14" s="24"/>
      <c r="F14" s="24"/>
      <c r="G14" s="24"/>
      <c r="H14" s="26">
        <f>SUBTOTAL(9,H13:H13)</f>
        <v>330000</v>
      </c>
      <c r="I14" s="27"/>
      <c r="J14" s="25">
        <f>SUM(C14:H14)</f>
        <v>330000</v>
      </c>
      <c r="K14" s="28"/>
    </row>
    <row r="15" spans="1:11" ht="33" customHeight="1" x14ac:dyDescent="0.25">
      <c r="A15" s="12">
        <v>3</v>
      </c>
      <c r="B15" s="20" t="s">
        <v>24</v>
      </c>
      <c r="C15" s="29" t="s">
        <v>13</v>
      </c>
      <c r="D15" s="30">
        <v>1</v>
      </c>
      <c r="E15" s="30">
        <v>8</v>
      </c>
      <c r="F15" s="32">
        <f t="shared" ref="F15" si="2" xml:space="preserve"> IFERROR(  D15*E15, "")</f>
        <v>8</v>
      </c>
      <c r="G15" s="14">
        <v>100000</v>
      </c>
      <c r="H15" s="33">
        <f t="shared" ref="H15" si="3" xml:space="preserve"> IFERROR(  F15*G15, "")</f>
        <v>800000</v>
      </c>
      <c r="I15" s="34"/>
      <c r="J15" s="16">
        <f>H15</f>
        <v>800000</v>
      </c>
      <c r="K15" s="21"/>
    </row>
    <row r="16" spans="1:11" ht="33" customHeight="1" thickBot="1" x14ac:dyDescent="0.3">
      <c r="A16" s="22"/>
      <c r="B16" s="23" t="s">
        <v>6</v>
      </c>
      <c r="C16" s="22"/>
      <c r="D16" s="24"/>
      <c r="E16" s="24"/>
      <c r="F16" s="24"/>
      <c r="G16" s="24"/>
      <c r="H16" s="26">
        <f>SUBTOTAL(9,H15:H15)</f>
        <v>800000</v>
      </c>
      <c r="I16" s="27"/>
      <c r="J16" s="25">
        <f>SUM(C16:H16)</f>
        <v>800000</v>
      </c>
      <c r="K16" s="28"/>
    </row>
    <row r="17" spans="1:11" ht="33" customHeight="1" x14ac:dyDescent="0.25">
      <c r="A17" s="40" t="s">
        <v>19</v>
      </c>
      <c r="B17" s="20" t="s">
        <v>25</v>
      </c>
      <c r="C17" s="29" t="s">
        <v>13</v>
      </c>
      <c r="D17" s="30">
        <v>1</v>
      </c>
      <c r="E17" s="30">
        <v>8</v>
      </c>
      <c r="F17" s="32">
        <v>8</v>
      </c>
      <c r="G17" s="14">
        <v>100000</v>
      </c>
      <c r="H17" s="33">
        <f xml:space="preserve"> IFERROR(  F17*G17, "")</f>
        <v>800000</v>
      </c>
      <c r="I17" s="34"/>
      <c r="J17" s="16">
        <f>H17</f>
        <v>800000</v>
      </c>
      <c r="K17" s="21"/>
    </row>
    <row r="18" spans="1:11" ht="32.25" customHeight="1" thickBot="1" x14ac:dyDescent="0.3">
      <c r="A18" s="22"/>
      <c r="B18" s="23" t="s">
        <v>6</v>
      </c>
      <c r="C18" s="22"/>
      <c r="D18" s="24"/>
      <c r="E18" s="24"/>
      <c r="F18" s="24"/>
      <c r="G18" s="24"/>
      <c r="H18" s="26">
        <f>SUBTOTAL(9,H17:H17)</f>
        <v>800000</v>
      </c>
      <c r="I18" s="27"/>
      <c r="J18" s="25">
        <f>SUM(C18:H18)</f>
        <v>800000</v>
      </c>
      <c r="K18" s="28"/>
    </row>
    <row r="19" spans="1:11" ht="33" customHeight="1" x14ac:dyDescent="0.25">
      <c r="A19" s="40" t="s">
        <v>18</v>
      </c>
      <c r="B19" s="20" t="s">
        <v>26</v>
      </c>
      <c r="C19" s="29" t="s">
        <v>13</v>
      </c>
      <c r="D19" s="30">
        <v>1</v>
      </c>
      <c r="E19" s="30">
        <v>6.6</v>
      </c>
      <c r="F19" s="32">
        <v>6.6</v>
      </c>
      <c r="G19" s="14">
        <v>100000</v>
      </c>
      <c r="H19" s="33">
        <f xml:space="preserve"> IFERROR(  F19*G19, "")</f>
        <v>660000</v>
      </c>
      <c r="I19" s="34"/>
      <c r="J19" s="16">
        <f>H19</f>
        <v>660000</v>
      </c>
      <c r="K19" s="21"/>
    </row>
    <row r="20" spans="1:11" ht="32.25" customHeight="1" thickBot="1" x14ac:dyDescent="0.3">
      <c r="A20" s="22"/>
      <c r="B20" s="23" t="s">
        <v>6</v>
      </c>
      <c r="C20" s="22"/>
      <c r="D20" s="24"/>
      <c r="E20" s="24"/>
      <c r="F20" s="24"/>
      <c r="G20" s="24"/>
      <c r="H20" s="26">
        <f>SUBTOTAL(9,H18:H19)</f>
        <v>660000</v>
      </c>
      <c r="I20" s="27"/>
      <c r="J20" s="25">
        <f>SUM(C20:H20)</f>
        <v>660000</v>
      </c>
      <c r="K20" s="28"/>
    </row>
    <row r="21" spans="1:11" x14ac:dyDescent="0.25">
      <c r="H21" s="1"/>
    </row>
    <row r="22" spans="1:11" x14ac:dyDescent="0.25">
      <c r="H22" s="1"/>
    </row>
    <row r="23" spans="1:11" ht="16.5" x14ac:dyDescent="0.25">
      <c r="B23" s="37" t="s">
        <v>3</v>
      </c>
      <c r="H23" s="1"/>
    </row>
    <row r="24" spans="1:11" x14ac:dyDescent="0.25">
      <c r="B24" s="38"/>
      <c r="H24" s="1"/>
    </row>
    <row r="25" spans="1:11" ht="20.25" x14ac:dyDescent="0.3">
      <c r="B25" s="39" t="s">
        <v>15</v>
      </c>
      <c r="C25" s="2"/>
      <c r="D25" s="2"/>
      <c r="E25" s="2"/>
      <c r="F25" s="2"/>
      <c r="H25" s="1"/>
    </row>
    <row r="26" spans="1:11" ht="20.25" x14ac:dyDescent="0.3">
      <c r="B26" s="39" t="s">
        <v>16</v>
      </c>
      <c r="C26" s="2"/>
      <c r="D26" s="2"/>
      <c r="E26" s="2"/>
      <c r="F26" s="2" t="s">
        <v>17</v>
      </c>
    </row>
  </sheetData>
  <mergeCells count="7">
    <mergeCell ref="A7:K7"/>
    <mergeCell ref="A8:A9"/>
    <mergeCell ref="B8:B9"/>
    <mergeCell ref="C8:H8"/>
    <mergeCell ref="I8:I9"/>
    <mergeCell ref="J8:J9"/>
    <mergeCell ref="K8:K9"/>
  </mergeCells>
  <conditionalFormatting sqref="B23:F26">
    <cfRule type="duplicateValues" dxfId="0" priority="1"/>
  </conditionalFormatting>
  <dataValidations count="1">
    <dataValidation type="custom" allowBlank="1" showInputMessage="1" showErrorMessage="1" errorTitle="Ошибка ввода данных" error="Допускается ввод только числовых значений!" sqref="D11:E11 G11 D19:E19 G17 D17:E17 G13 D15:E15 D13:E13 G15 G19">
      <formula1>ISNUMBER(D11)</formula1>
    </dataValidation>
  </dataValidations>
  <printOptions horizontalCentered="1"/>
  <pageMargins left="0.78740157480314965" right="0.59055118110236227" top="0.59055118110236227" bottom="0.59055118110236227" header="0.31496062992125984" footer="0.31496062992125984"/>
  <pageSetup paperSize="8" scale="97" orientation="landscape" r:id="rId1"/>
  <headerFooter>
    <oddHeader>&amp;R&amp;"Times New Roman,полужирный"&amp;12ПРИЛОЖЕНИЕ Б
Таблица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2026</vt:lpstr>
      <vt:lpstr>'2026'!Область_печати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Владимирович Смирнов</dc:creator>
  <cp:lastModifiedBy>Габитов Дмитрий Сергеевич</cp:lastModifiedBy>
  <cp:lastPrinted>2025-10-29T11:19:00Z</cp:lastPrinted>
  <dcterms:created xsi:type="dcterms:W3CDTF">2023-10-09T06:31:28Z</dcterms:created>
  <dcterms:modified xsi:type="dcterms:W3CDTF">2026-10-26T11:20:22Z</dcterms:modified>
</cp:coreProperties>
</file>