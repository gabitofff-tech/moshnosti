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Рабочие материалы\Прочее\Формы, октябрь 23\Прокатка\"/>
    </mc:Choice>
  </mc:AlternateContent>
  <bookViews>
    <workbookView xWindow="0" yWindow="0" windowWidth="20377" windowHeight="7757"/>
  </bookViews>
  <sheets>
    <sheet name="Sheet1" sheetId="1" r:id="rId1"/>
  </sheets>
  <definedNames>
    <definedName name="_xlnm.Print_Titles" localSheetId="0">Sheet1!$2:$4</definedName>
    <definedName name="_xlnm.Print_Area" localSheetId="0">Sheet1!$A$1:$K$91</definedName>
  </definedNames>
  <calcPr calcId="162913"/>
</workbook>
</file>

<file path=xl/calcChain.xml><?xml version="1.0" encoding="utf-8"?>
<calcChain xmlns="http://schemas.openxmlformats.org/spreadsheetml/2006/main">
  <c r="K90" i="1" l="1"/>
  <c r="H90" i="1"/>
  <c r="E90" i="1"/>
  <c r="K89" i="1"/>
  <c r="H89" i="1"/>
  <c r="E89" i="1"/>
  <c r="K88" i="1"/>
  <c r="H88" i="1"/>
  <c r="E88" i="1"/>
  <c r="K87" i="1"/>
  <c r="H87" i="1"/>
  <c r="E87" i="1"/>
  <c r="K86" i="1"/>
  <c r="H86" i="1"/>
  <c r="E86" i="1"/>
  <c r="K85" i="1"/>
  <c r="H85" i="1"/>
  <c r="E85" i="1"/>
  <c r="K84" i="1"/>
  <c r="H84" i="1"/>
  <c r="E84" i="1"/>
  <c r="K83" i="1"/>
  <c r="H83" i="1"/>
  <c r="E83" i="1"/>
  <c r="K82" i="1"/>
  <c r="H82" i="1"/>
  <c r="E82" i="1"/>
  <c r="K81" i="1"/>
  <c r="H81" i="1"/>
  <c r="E81" i="1"/>
  <c r="K80" i="1"/>
  <c r="H80" i="1"/>
  <c r="E80" i="1"/>
  <c r="K79" i="1"/>
  <c r="H79" i="1"/>
  <c r="E79" i="1"/>
  <c r="K78" i="1"/>
  <c r="H78" i="1"/>
  <c r="E78" i="1"/>
  <c r="K77" i="1"/>
  <c r="H77" i="1"/>
  <c r="E77" i="1"/>
  <c r="K76" i="1"/>
  <c r="H76" i="1"/>
  <c r="E76" i="1"/>
  <c r="A73" i="1"/>
  <c r="K75" i="1" l="1"/>
  <c r="H75" i="1"/>
  <c r="E75" i="1"/>
  <c r="K74" i="1"/>
  <c r="H74" i="1"/>
  <c r="E74" i="1"/>
  <c r="K91" i="1"/>
  <c r="H91" i="1"/>
  <c r="E91" i="1"/>
  <c r="K72" i="1"/>
  <c r="H72" i="1"/>
  <c r="E72" i="1"/>
  <c r="K68" i="1"/>
  <c r="H68" i="1"/>
  <c r="E68" i="1"/>
  <c r="K62" i="1"/>
  <c r="H62" i="1"/>
  <c r="E62" i="1"/>
  <c r="K55" i="1"/>
  <c r="H55" i="1"/>
  <c r="E55" i="1"/>
  <c r="K48" i="1"/>
  <c r="H48" i="1"/>
  <c r="E48" i="1"/>
  <c r="K44" i="1"/>
  <c r="H44" i="1"/>
  <c r="E44" i="1"/>
  <c r="K35" i="1"/>
  <c r="H35" i="1"/>
  <c r="E35" i="1"/>
  <c r="K25" i="1"/>
  <c r="H25" i="1"/>
  <c r="E25" i="1"/>
  <c r="A26" i="1"/>
  <c r="K10" i="1"/>
  <c r="H10" i="1"/>
  <c r="E10" i="1"/>
  <c r="A69" i="1"/>
  <c r="K34" i="1"/>
  <c r="H34" i="1"/>
  <c r="E34" i="1"/>
  <c r="A36" i="1"/>
  <c r="A5" i="1" l="1"/>
  <c r="A56" i="1" l="1"/>
  <c r="A49" i="1"/>
  <c r="A45" i="1"/>
  <c r="K21" i="1"/>
  <c r="K20" i="1"/>
  <c r="K19" i="1"/>
  <c r="K18" i="1"/>
  <c r="K17" i="1"/>
  <c r="K16" i="1"/>
  <c r="K15" i="1"/>
  <c r="K14" i="1"/>
  <c r="K13" i="1"/>
  <c r="H21" i="1"/>
  <c r="H20" i="1"/>
  <c r="H19" i="1"/>
  <c r="H18" i="1"/>
  <c r="H17" i="1"/>
  <c r="H16" i="1"/>
  <c r="H15" i="1"/>
  <c r="H14" i="1"/>
  <c r="H13" i="1"/>
  <c r="E21" i="1"/>
  <c r="E20" i="1"/>
  <c r="E19" i="1"/>
  <c r="E18" i="1"/>
  <c r="E17" i="1"/>
  <c r="E16" i="1"/>
  <c r="E15" i="1"/>
  <c r="E14" i="1"/>
  <c r="E13" i="1"/>
  <c r="A11" i="1"/>
  <c r="E71" i="1" l="1"/>
  <c r="E70" i="1"/>
  <c r="H71" i="1"/>
  <c r="H70" i="1"/>
  <c r="K71" i="1"/>
  <c r="K70" i="1"/>
  <c r="E67" i="1"/>
  <c r="E66" i="1"/>
  <c r="E65" i="1"/>
  <c r="E64" i="1"/>
  <c r="H67" i="1"/>
  <c r="H66" i="1"/>
  <c r="H65" i="1"/>
  <c r="H64" i="1"/>
  <c r="K67" i="1"/>
  <c r="K66" i="1"/>
  <c r="K65" i="1"/>
  <c r="K64" i="1"/>
  <c r="E61" i="1"/>
  <c r="E60" i="1"/>
  <c r="E59" i="1"/>
  <c r="E58" i="1"/>
  <c r="E57" i="1"/>
  <c r="H61" i="1"/>
  <c r="H60" i="1"/>
  <c r="H59" i="1"/>
  <c r="H58" i="1"/>
  <c r="H57" i="1"/>
  <c r="K61" i="1"/>
  <c r="K60" i="1"/>
  <c r="K59" i="1"/>
  <c r="K58" i="1"/>
  <c r="K57" i="1"/>
  <c r="K54" i="1"/>
  <c r="K53" i="1"/>
  <c r="K52" i="1"/>
  <c r="K51" i="1"/>
  <c r="K50" i="1"/>
  <c r="H54" i="1"/>
  <c r="H53" i="1"/>
  <c r="H52" i="1"/>
  <c r="H51" i="1"/>
  <c r="H50" i="1"/>
  <c r="E54" i="1"/>
  <c r="E53" i="1"/>
  <c r="E52" i="1"/>
  <c r="E51" i="1"/>
  <c r="E50" i="1"/>
  <c r="K47" i="1"/>
  <c r="H47" i="1"/>
  <c r="H46" i="1"/>
  <c r="E47" i="1"/>
  <c r="E46" i="1"/>
  <c r="E43" i="1"/>
  <c r="E42" i="1"/>
  <c r="E41" i="1"/>
  <c r="E40" i="1"/>
  <c r="E39" i="1"/>
  <c r="E37" i="1"/>
  <c r="E33" i="1"/>
  <c r="E32" i="1"/>
  <c r="E31" i="1"/>
  <c r="E30" i="1"/>
  <c r="H43" i="1"/>
  <c r="H42" i="1"/>
  <c r="H41" i="1"/>
  <c r="H40" i="1"/>
  <c r="H39" i="1"/>
  <c r="H37" i="1"/>
  <c r="H33" i="1"/>
  <c r="H32" i="1"/>
  <c r="H31" i="1"/>
  <c r="H30" i="1"/>
  <c r="K43" i="1"/>
  <c r="K42" i="1"/>
  <c r="K41" i="1"/>
  <c r="K40" i="1"/>
  <c r="K39" i="1"/>
  <c r="K37" i="1"/>
  <c r="K33" i="1"/>
  <c r="K32" i="1"/>
  <c r="K31" i="1"/>
  <c r="K30" i="1"/>
  <c r="E29" i="1"/>
  <c r="E28" i="1"/>
  <c r="E27" i="1"/>
  <c r="H29" i="1"/>
  <c r="H28" i="1"/>
  <c r="H27" i="1"/>
  <c r="K29" i="1"/>
  <c r="K28" i="1"/>
  <c r="K27" i="1"/>
  <c r="E24" i="1"/>
  <c r="E23" i="1"/>
  <c r="E22" i="1"/>
  <c r="E12" i="1"/>
  <c r="H24" i="1"/>
  <c r="H23" i="1"/>
  <c r="H22" i="1"/>
  <c r="H12" i="1"/>
  <c r="K24" i="1"/>
  <c r="K23" i="1"/>
  <c r="K22" i="1"/>
  <c r="K12" i="1"/>
  <c r="K9" i="1"/>
  <c r="K8" i="1"/>
  <c r="K7" i="1"/>
  <c r="K6" i="1"/>
  <c r="E9" i="1"/>
  <c r="E8" i="1"/>
  <c r="E7" i="1"/>
  <c r="E6" i="1"/>
  <c r="H9" i="1"/>
  <c r="H8" i="1"/>
  <c r="H7" i="1"/>
  <c r="H6" i="1"/>
  <c r="A63" i="1" l="1"/>
</calcChain>
</file>

<file path=xl/sharedStrings.xml><?xml version="1.0" encoding="utf-8"?>
<sst xmlns="http://schemas.openxmlformats.org/spreadsheetml/2006/main" count="202" uniqueCount="62">
  <si>
    <t>п/п</t>
  </si>
  <si>
    <t>При 1 смене</t>
  </si>
  <si>
    <t>При 3 сменах</t>
  </si>
  <si>
    <t>1.</t>
  </si>
  <si>
    <t>2.</t>
  </si>
  <si>
    <t>Печи плавильные для медных сплавов</t>
  </si>
  <si>
    <t>Оборудование неавтоматизированное</t>
  </si>
  <si>
    <t>Заготовительное оборудование (ножницы, вальцы и т. д.)</t>
  </si>
  <si>
    <t>Литейное оборудование цехов мелкосерийного и серийного производства</t>
  </si>
  <si>
    <t>Закрытые вагранки с подогревом дутья и очисткой газов, при одном подогревателе на две вагранки</t>
  </si>
  <si>
    <t>а) механизированные</t>
  </si>
  <si>
    <t>б) немеханизированные</t>
  </si>
  <si>
    <t>Печи термические электрические элеваторного типа</t>
  </si>
  <si>
    <t>Оборудование автоматизированное</t>
  </si>
  <si>
    <t>Ручные способы сварки и резки</t>
  </si>
  <si>
    <t>Станки распиловочные, фуговальные, токарные и другие, лесосушильные камеры</t>
  </si>
  <si>
    <t>Столярные верстаки и рабочие места без оборудования</t>
  </si>
  <si>
    <t>% потерь фонда времени</t>
  </si>
  <si>
    <t>Номинальный годовой фонд времени, час</t>
  </si>
  <si>
    <t>Действительный годовой фонд времени, час</t>
  </si>
  <si>
    <t>Прессы ковочные усилием свыше 315 т до 800 т</t>
  </si>
  <si>
    <t>Лазерные комплексы плоского раскроя</t>
  </si>
  <si>
    <t>Лазерные комплексы объёмной резки</t>
  </si>
  <si>
    <t>Уникальное кузнечно-прессовое oоборудование:
ковочные молоты с весом падающих частей свыше 5 т, штамповочные молоты с весом падающих частей свыше 10 т, горизонтально-ковочные машины, чеканочные прессы</t>
  </si>
  <si>
    <t>Печи плавильные для алюминиевых к других лёгких сплавов</t>
  </si>
  <si>
    <t>Прессы листогибочные  с ЧПУ</t>
  </si>
  <si>
    <t>Прессы вырубные с ЧПУ</t>
  </si>
  <si>
    <t>Изотермическая, пневмотермическая штамповка</t>
  </si>
  <si>
    <t>Раскатное, давильное оборудование</t>
  </si>
  <si>
    <t>Оборудование ручной формовки</t>
  </si>
  <si>
    <t>Разделочные стенды, клепальные прессы,  сверлильно-зенковальные установки</t>
  </si>
  <si>
    <t>Конвейерные линии для сборки агрегатов и изделий</t>
  </si>
  <si>
    <t>Рабочие места для ручной клёпки, верстаки, столы</t>
  </si>
  <si>
    <t>Уникальные испытательные стенды, установки, пульты в сборочных и испытательных цехах, КИСах</t>
  </si>
  <si>
    <t>Сварочное универсальное оборудование: автоматы и полуавтоматы для сварки в среде защитных газов и   под слоем  флюса; автоматы для электрошлаковой сварки; оборудование для наплавки металлов; машины для точечной и роликовой сварки до 400 кВА; машины; оборудование для сварки ультразвуком; оборудование для диффузной сварки</t>
  </si>
  <si>
    <t>Машины для точечной и роликовой сварки свыше 400 кВА</t>
  </si>
  <si>
    <t>Сварочное оборудование электроннолучевой сварки, сварки давлением, стыковой сварки, лазерной сварки</t>
  </si>
  <si>
    <t>Металлорежущее универсальное оборудование</t>
  </si>
  <si>
    <t>Станки с ЧПУ 3-координатные</t>
  </si>
  <si>
    <t>Станки с ЧПУ с количеством осей 4 и более; металлорежущие агрегатные станки, координатно-расточные, электроэрозионные, электрохимические, координатно-шлифовальные, резьбошлифовальные, шлифовально-заточные с ЧПУ</t>
  </si>
  <si>
    <t>Автоматические линии</t>
  </si>
  <si>
    <t>То же, особо крупное и сложное оборудование (пескогидрокамеры, механизированные, дробемётные камеры и встряхивающие столы грузоподъёмностью свыше 10 т)</t>
  </si>
  <si>
    <t>Наименование оборудования</t>
  </si>
  <si>
    <t>При 2 сменах</t>
  </si>
  <si>
    <t>Печи термические с длительным циклом работы</t>
  </si>
  <si>
    <t>Печи с непрерывным режимом работы</t>
  </si>
  <si>
    <t>Прессы ковочные усилием свыше 800 т</t>
  </si>
  <si>
    <t>Кузнечно-прессовое оборудование, не вошедшее в пп. 2÷4</t>
  </si>
  <si>
    <t>Оборудование гидроабразивной резки</t>
  </si>
  <si>
    <t>Оборудование газовой, плазменной резки</t>
  </si>
  <si>
    <t>Прессы усилием до 315 т</t>
  </si>
  <si>
    <t>Прессы усилием свыше 315 т до 800 т</t>
  </si>
  <si>
    <t>Прессы усилием свыше 800 т</t>
  </si>
  <si>
    <t>Дуговые электропечи для плавки стали и чугуна</t>
  </si>
  <si>
    <t>Индукционные печи для плавки стали и чугуна</t>
  </si>
  <si>
    <t>Печи плавильные для титановых сплавов</t>
  </si>
  <si>
    <t>Печи термические с коротким циклом работы:</t>
  </si>
  <si>
    <t>Печи вакуумные</t>
  </si>
  <si>
    <t>Стапели, крупные приспособления</t>
  </si>
  <si>
    <t>Стапели сборки и сварки</t>
  </si>
  <si>
    <t>…</t>
  </si>
  <si>
    <t>Действительный годовой фонд времени работы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</si>
</sst>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&quot;.&quot;"/>
  </numFmts>
  <fonts count="5" x14ac:knownFonts="1">
    <font>
      <sz val="10"/>
      <name val="Arial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7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165" fontId="2" fillId="0" borderId="10" xfId="0" applyNumberFormat="1" applyFont="1" applyFill="1" applyBorder="1" applyAlignment="1">
      <alignment horizontal="left" vertical="center" indent="1"/>
    </xf>
    <xf numFmtId="165" fontId="2" fillId="0" borderId="15" xfId="0" applyNumberFormat="1" applyFont="1" applyFill="1" applyBorder="1" applyAlignment="1">
      <alignment horizontal="left" vertical="center" indent="1"/>
    </xf>
    <xf numFmtId="0" fontId="0" fillId="0" borderId="1" xfId="0" applyBorder="1"/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165" fontId="2" fillId="0" borderId="20" xfId="0" applyNumberFormat="1" applyFont="1" applyFill="1" applyBorder="1" applyAlignment="1">
      <alignment horizontal="left" vertical="center" indent="1"/>
    </xf>
    <xf numFmtId="0" fontId="2" fillId="0" borderId="2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top" inden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8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justify" vertical="center"/>
    </xf>
    <xf numFmtId="0" fontId="2" fillId="0" borderId="15" xfId="0" applyFont="1" applyFill="1" applyBorder="1" applyAlignment="1">
      <alignment horizontal="justify" vertical="center"/>
    </xf>
    <xf numFmtId="0" fontId="2" fillId="0" borderId="10" xfId="0" applyFont="1" applyFill="1" applyBorder="1" applyAlignment="1">
      <alignment horizontal="justify" vertical="center" wrapText="1"/>
    </xf>
    <xf numFmtId="0" fontId="3" fillId="0" borderId="12" xfId="0" applyFont="1" applyFill="1" applyBorder="1" applyAlignment="1">
      <alignment horizontal="center" vertical="top"/>
    </xf>
    <xf numFmtId="0" fontId="3" fillId="0" borderId="13" xfId="0" applyNumberFormat="1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top"/>
    </xf>
    <xf numFmtId="0" fontId="3" fillId="0" borderId="14" xfId="0" applyFont="1" applyFill="1" applyBorder="1" applyAlignment="1">
      <alignment horizontal="center" vertical="top"/>
    </xf>
    <xf numFmtId="0" fontId="2" fillId="0" borderId="17" xfId="0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19" xfId="0" applyNumberFormat="1" applyFont="1" applyFill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 wrapText="1"/>
    </xf>
    <xf numFmtId="1" fontId="2" fillId="3" borderId="19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33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1"/>
  <sheetViews>
    <sheetView tabSelected="1" zoomScale="85" zoomScaleNormal="85" zoomScaleSheetLayoutView="85" workbookViewId="0">
      <pane xSplit="1" ySplit="4" topLeftCell="B59" activePane="bottomRight" state="frozen"/>
      <selection pane="topRight" activeCell="B1" sqref="B1"/>
      <selection pane="bottomLeft" activeCell="A4" sqref="A4"/>
      <selection pane="bottomRight" activeCell="A63" sqref="A63:K63"/>
    </sheetView>
  </sheetViews>
  <sheetFormatPr defaultRowHeight="12.9" x14ac:dyDescent="0.2"/>
  <cols>
    <col min="1" max="1" width="5.25" bestFit="1" customWidth="1"/>
    <col min="2" max="2" width="61.25" customWidth="1"/>
    <col min="3" max="3" width="13.5" customWidth="1"/>
    <col min="4" max="4" width="9.5" customWidth="1"/>
    <col min="5" max="5" width="16" customWidth="1"/>
    <col min="6" max="6" width="13.375" customWidth="1"/>
    <col min="7" max="7" width="9.75" customWidth="1"/>
    <col min="8" max="8" width="16" customWidth="1"/>
    <col min="9" max="9" width="15.125" customWidth="1"/>
    <col min="10" max="10" width="9.5" customWidth="1"/>
    <col min="11" max="11" width="16" customWidth="1"/>
  </cols>
  <sheetData>
    <row r="1" spans="1:12" s="4" customFormat="1" ht="35" customHeight="1" thickBot="1" x14ac:dyDescent="0.25">
      <c r="A1" s="48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2" ht="16.3" customHeight="1" x14ac:dyDescent="0.2">
      <c r="A2" s="58" t="s">
        <v>0</v>
      </c>
      <c r="B2" s="58" t="s">
        <v>42</v>
      </c>
      <c r="C2" s="49" t="s">
        <v>1</v>
      </c>
      <c r="D2" s="50"/>
      <c r="E2" s="51"/>
      <c r="F2" s="49" t="s">
        <v>43</v>
      </c>
      <c r="G2" s="50"/>
      <c r="H2" s="51"/>
      <c r="I2" s="55" t="s">
        <v>2</v>
      </c>
      <c r="J2" s="56"/>
      <c r="K2" s="57"/>
    </row>
    <row r="3" spans="1:12" ht="40.75" customHeight="1" thickBot="1" x14ac:dyDescent="0.25">
      <c r="A3" s="59"/>
      <c r="B3" s="59"/>
      <c r="C3" s="5" t="s">
        <v>18</v>
      </c>
      <c r="D3" s="6" t="s">
        <v>17</v>
      </c>
      <c r="E3" s="7" t="s">
        <v>19</v>
      </c>
      <c r="F3" s="5" t="s">
        <v>18</v>
      </c>
      <c r="G3" s="6" t="s">
        <v>17</v>
      </c>
      <c r="H3" s="7" t="s">
        <v>19</v>
      </c>
      <c r="I3" s="5" t="s">
        <v>18</v>
      </c>
      <c r="J3" s="6" t="s">
        <v>17</v>
      </c>
      <c r="K3" s="7" t="s">
        <v>19</v>
      </c>
    </row>
    <row r="4" spans="1:12" ht="13.6" thickBot="1" x14ac:dyDescent="0.25">
      <c r="A4" s="35">
        <v>1</v>
      </c>
      <c r="B4" s="36">
        <v>2</v>
      </c>
      <c r="C4" s="37">
        <v>3</v>
      </c>
      <c r="D4" s="36">
        <v>4</v>
      </c>
      <c r="E4" s="37">
        <v>5</v>
      </c>
      <c r="F4" s="36">
        <v>6</v>
      </c>
      <c r="G4" s="37">
        <v>7</v>
      </c>
      <c r="H4" s="36">
        <v>8</v>
      </c>
      <c r="I4" s="37">
        <v>9</v>
      </c>
      <c r="J4" s="36">
        <v>10</v>
      </c>
      <c r="K4" s="38">
        <v>11</v>
      </c>
    </row>
    <row r="5" spans="1:12" ht="22.1" customHeight="1" thickBot="1" x14ac:dyDescent="0.25">
      <c r="A5" s="45" t="str">
        <f xml:space="preserve"> ROMAN(1,0)&amp;". Кузнечно-прессовое оборудование"</f>
        <v>I. Кузнечно-прессовое оборудование</v>
      </c>
      <c r="B5" s="46"/>
      <c r="C5" s="46"/>
      <c r="D5" s="46"/>
      <c r="E5" s="46"/>
      <c r="F5" s="46"/>
      <c r="G5" s="46"/>
      <c r="H5" s="46"/>
      <c r="I5" s="46"/>
      <c r="J5" s="46"/>
      <c r="K5" s="47"/>
    </row>
    <row r="6" spans="1:12" ht="22.95" customHeight="1" x14ac:dyDescent="0.2">
      <c r="A6" s="8">
        <v>1</v>
      </c>
      <c r="B6" s="26" t="s">
        <v>47</v>
      </c>
      <c r="C6" s="11">
        <v>1979</v>
      </c>
      <c r="D6" s="12">
        <v>3</v>
      </c>
      <c r="E6" s="40">
        <f t="shared" ref="E6:E9" si="0" xml:space="preserve">    IF( NOT( ISBLANK(D6)), C6-C6*D6/100,"")</f>
        <v>1919.63</v>
      </c>
      <c r="F6" s="11">
        <v>3958</v>
      </c>
      <c r="G6" s="15">
        <v>4</v>
      </c>
      <c r="H6" s="40">
        <f xml:space="preserve">    IF( NOT( ISBLANK(G6)), F6-F6*G6/100,"")</f>
        <v>3799.68</v>
      </c>
      <c r="I6" s="16">
        <v>5937</v>
      </c>
      <c r="J6" s="12">
        <v>6</v>
      </c>
      <c r="K6" s="40">
        <f t="shared" ref="K6:K44" si="1" xml:space="preserve">    IF( NOT( ISBLANK(J6)), I6-I6*J6/100,"")</f>
        <v>5580.78</v>
      </c>
      <c r="L6" s="10"/>
    </row>
    <row r="7" spans="1:12" ht="65.05" customHeight="1" x14ac:dyDescent="0.2">
      <c r="A7" s="9">
        <v>2</v>
      </c>
      <c r="B7" s="27" t="s">
        <v>23</v>
      </c>
      <c r="C7" s="13">
        <v>1979</v>
      </c>
      <c r="D7" s="1">
        <v>8</v>
      </c>
      <c r="E7" s="41">
        <f t="shared" si="0"/>
        <v>1820.68</v>
      </c>
      <c r="F7" s="13">
        <v>3958</v>
      </c>
      <c r="G7" s="1">
        <v>10</v>
      </c>
      <c r="H7" s="41">
        <f t="shared" ref="H7:H9" si="2" xml:space="preserve">    IF( NOT( ISBLANK(G7)), F7-F7*G7/100,"")</f>
        <v>3562.2</v>
      </c>
      <c r="I7" s="17">
        <v>5937</v>
      </c>
      <c r="J7" s="2">
        <v>12</v>
      </c>
      <c r="K7" s="41">
        <f t="shared" si="1"/>
        <v>5224.5599999999995</v>
      </c>
      <c r="L7" s="10"/>
    </row>
    <row r="8" spans="1:12" ht="22.95" customHeight="1" x14ac:dyDescent="0.2">
      <c r="A8" s="9">
        <v>3</v>
      </c>
      <c r="B8" s="28" t="s">
        <v>20</v>
      </c>
      <c r="C8" s="13">
        <v>1979</v>
      </c>
      <c r="D8" s="1">
        <v>6</v>
      </c>
      <c r="E8" s="41">
        <f t="shared" si="0"/>
        <v>1860.26</v>
      </c>
      <c r="F8" s="13">
        <v>3958</v>
      </c>
      <c r="G8" s="1">
        <v>8</v>
      </c>
      <c r="H8" s="41">
        <f t="shared" si="2"/>
        <v>3641.36</v>
      </c>
      <c r="I8" s="17">
        <v>5937</v>
      </c>
      <c r="J8" s="1">
        <v>10</v>
      </c>
      <c r="K8" s="41">
        <f t="shared" si="1"/>
        <v>5343.3</v>
      </c>
      <c r="L8" s="10"/>
    </row>
    <row r="9" spans="1:12" ht="22.95" customHeight="1" x14ac:dyDescent="0.2">
      <c r="A9" s="9">
        <v>4</v>
      </c>
      <c r="B9" s="28" t="s">
        <v>46</v>
      </c>
      <c r="C9" s="13">
        <v>1979</v>
      </c>
      <c r="D9" s="1">
        <v>8</v>
      </c>
      <c r="E9" s="41">
        <f t="shared" si="0"/>
        <v>1820.68</v>
      </c>
      <c r="F9" s="13">
        <v>3958</v>
      </c>
      <c r="G9" s="1">
        <v>10</v>
      </c>
      <c r="H9" s="41">
        <f t="shared" si="2"/>
        <v>3562.2</v>
      </c>
      <c r="I9" s="17">
        <v>5937</v>
      </c>
      <c r="J9" s="2">
        <v>12</v>
      </c>
      <c r="K9" s="41">
        <f t="shared" si="1"/>
        <v>5224.5599999999995</v>
      </c>
      <c r="L9" s="10"/>
    </row>
    <row r="10" spans="1:12" ht="22.95" customHeight="1" thickBot="1" x14ac:dyDescent="0.25">
      <c r="A10" s="9" t="s">
        <v>60</v>
      </c>
      <c r="B10" s="39" t="s">
        <v>60</v>
      </c>
      <c r="C10" s="13" t="s">
        <v>60</v>
      </c>
      <c r="D10" s="1"/>
      <c r="E10" s="41" t="str">
        <f t="shared" ref="E10" si="3" xml:space="preserve">    IF( NOT( ISBLANK(D10)), C10-C10*D10/100,"")</f>
        <v/>
      </c>
      <c r="F10" s="13" t="s">
        <v>60</v>
      </c>
      <c r="G10" s="1"/>
      <c r="H10" s="41" t="str">
        <f t="shared" ref="H10" si="4" xml:space="preserve">    IF( NOT( ISBLANK(G10)), F10-F10*G10/100,"")</f>
        <v/>
      </c>
      <c r="I10" s="17" t="s">
        <v>60</v>
      </c>
      <c r="J10" s="2"/>
      <c r="K10" s="41" t="str">
        <f t="shared" ref="K10" si="5" xml:space="preserve">    IF( NOT( ISBLANK(J10)), I10-I10*J10/100,"")</f>
        <v/>
      </c>
      <c r="L10" s="10"/>
    </row>
    <row r="11" spans="1:12" ht="22.1" customHeight="1" thickBot="1" x14ac:dyDescent="0.25">
      <c r="A11" s="45" t="str">
        <f>ROMAN(2,0)&amp;". Заготовительно-штамповочное оборудование (листовая штамповка)"</f>
        <v>II. Заготовительно-штамповочное оборудование (листовая штамповка)</v>
      </c>
      <c r="B11" s="46"/>
      <c r="C11" s="46"/>
      <c r="D11" s="46"/>
      <c r="E11" s="46"/>
      <c r="F11" s="46"/>
      <c r="G11" s="46"/>
      <c r="H11" s="46"/>
      <c r="I11" s="46"/>
      <c r="J11" s="46"/>
      <c r="K11" s="47"/>
    </row>
    <row r="12" spans="1:12" ht="22.95" customHeight="1" x14ac:dyDescent="0.2">
      <c r="A12" s="8">
        <v>1</v>
      </c>
      <c r="B12" s="29" t="s">
        <v>7</v>
      </c>
      <c r="C12" s="11">
        <v>1979</v>
      </c>
      <c r="D12" s="15">
        <v>2</v>
      </c>
      <c r="E12" s="40">
        <f t="shared" ref="E12:E25" si="6" xml:space="preserve">    IF( NOT( ISBLANK(D12)), C12-C12*D12/100,"")</f>
        <v>1939.42</v>
      </c>
      <c r="F12" s="11">
        <v>3958</v>
      </c>
      <c r="G12" s="15">
        <v>3</v>
      </c>
      <c r="H12" s="40">
        <f t="shared" ref="H12:H25" si="7" xml:space="preserve">    IF( NOT( ISBLANK(G12)), F12-F12*G12/100,"")</f>
        <v>3839.26</v>
      </c>
      <c r="I12" s="16">
        <v>5937</v>
      </c>
      <c r="J12" s="15">
        <v>4</v>
      </c>
      <c r="K12" s="40">
        <f t="shared" si="1"/>
        <v>5699.52</v>
      </c>
      <c r="L12" s="10"/>
    </row>
    <row r="13" spans="1:12" ht="22.95" customHeight="1" x14ac:dyDescent="0.2">
      <c r="A13" s="9">
        <v>2</v>
      </c>
      <c r="B13" s="30" t="s">
        <v>21</v>
      </c>
      <c r="C13" s="13">
        <v>1979</v>
      </c>
      <c r="D13" s="2">
        <v>2</v>
      </c>
      <c r="E13" s="41">
        <f t="shared" si="6"/>
        <v>1939.42</v>
      </c>
      <c r="F13" s="13">
        <v>3958</v>
      </c>
      <c r="G13" s="2">
        <v>3</v>
      </c>
      <c r="H13" s="41">
        <f t="shared" si="7"/>
        <v>3839.26</v>
      </c>
      <c r="I13" s="17">
        <v>5937</v>
      </c>
      <c r="J13" s="2">
        <v>4</v>
      </c>
      <c r="K13" s="41">
        <f t="shared" si="1"/>
        <v>5699.52</v>
      </c>
      <c r="L13" s="10"/>
    </row>
    <row r="14" spans="1:12" ht="22.95" customHeight="1" x14ac:dyDescent="0.2">
      <c r="A14" s="9">
        <v>3</v>
      </c>
      <c r="B14" s="30" t="s">
        <v>22</v>
      </c>
      <c r="C14" s="13">
        <v>1979</v>
      </c>
      <c r="D14" s="2">
        <v>6</v>
      </c>
      <c r="E14" s="41">
        <f t="shared" si="6"/>
        <v>1860.26</v>
      </c>
      <c r="F14" s="13">
        <v>3958</v>
      </c>
      <c r="G14" s="2">
        <v>8</v>
      </c>
      <c r="H14" s="41">
        <f t="shared" si="7"/>
        <v>3641.36</v>
      </c>
      <c r="I14" s="17">
        <v>5937</v>
      </c>
      <c r="J14" s="2">
        <v>10</v>
      </c>
      <c r="K14" s="41">
        <f t="shared" si="1"/>
        <v>5343.3</v>
      </c>
      <c r="L14" s="10"/>
    </row>
    <row r="15" spans="1:12" ht="22.95" customHeight="1" x14ac:dyDescent="0.2">
      <c r="A15" s="9">
        <v>4</v>
      </c>
      <c r="B15" s="30" t="s">
        <v>48</v>
      </c>
      <c r="C15" s="13">
        <v>1979</v>
      </c>
      <c r="D15" s="2">
        <v>4</v>
      </c>
      <c r="E15" s="41">
        <f t="shared" si="6"/>
        <v>1899.84</v>
      </c>
      <c r="F15" s="13">
        <v>3958</v>
      </c>
      <c r="G15" s="2">
        <v>5</v>
      </c>
      <c r="H15" s="41">
        <f t="shared" si="7"/>
        <v>3760.1</v>
      </c>
      <c r="I15" s="17">
        <v>5937</v>
      </c>
      <c r="J15" s="2">
        <v>6</v>
      </c>
      <c r="K15" s="41">
        <f t="shared" si="1"/>
        <v>5580.78</v>
      </c>
      <c r="L15" s="10"/>
    </row>
    <row r="16" spans="1:12" ht="22.95" customHeight="1" x14ac:dyDescent="0.2">
      <c r="A16" s="9">
        <v>5</v>
      </c>
      <c r="B16" s="30" t="s">
        <v>49</v>
      </c>
      <c r="C16" s="13">
        <v>1979</v>
      </c>
      <c r="D16" s="2">
        <v>4</v>
      </c>
      <c r="E16" s="41">
        <f t="shared" si="6"/>
        <v>1899.84</v>
      </c>
      <c r="F16" s="13">
        <v>3958</v>
      </c>
      <c r="G16" s="2">
        <v>5</v>
      </c>
      <c r="H16" s="41">
        <f t="shared" si="7"/>
        <v>3760.1</v>
      </c>
      <c r="I16" s="17">
        <v>5937</v>
      </c>
      <c r="J16" s="2">
        <v>6</v>
      </c>
      <c r="K16" s="41">
        <f t="shared" si="1"/>
        <v>5580.78</v>
      </c>
      <c r="L16" s="10"/>
    </row>
    <row r="17" spans="1:12" ht="22.95" customHeight="1" x14ac:dyDescent="0.2">
      <c r="A17" s="9">
        <v>6</v>
      </c>
      <c r="B17" s="30" t="s">
        <v>25</v>
      </c>
      <c r="C17" s="13">
        <v>1979</v>
      </c>
      <c r="D17" s="2">
        <v>3</v>
      </c>
      <c r="E17" s="41">
        <f t="shared" si="6"/>
        <v>1919.63</v>
      </c>
      <c r="F17" s="13">
        <v>3958</v>
      </c>
      <c r="G17" s="2">
        <v>4</v>
      </c>
      <c r="H17" s="41">
        <f t="shared" si="7"/>
        <v>3799.68</v>
      </c>
      <c r="I17" s="17">
        <v>5937</v>
      </c>
      <c r="J17" s="2">
        <v>5</v>
      </c>
      <c r="K17" s="41">
        <f t="shared" si="1"/>
        <v>5640.15</v>
      </c>
      <c r="L17" s="10"/>
    </row>
    <row r="18" spans="1:12" ht="22.95" customHeight="1" x14ac:dyDescent="0.2">
      <c r="A18" s="9">
        <v>7</v>
      </c>
      <c r="B18" s="30" t="s">
        <v>26</v>
      </c>
      <c r="C18" s="13">
        <v>1979</v>
      </c>
      <c r="D18" s="2">
        <v>6</v>
      </c>
      <c r="E18" s="41">
        <f t="shared" si="6"/>
        <v>1860.26</v>
      </c>
      <c r="F18" s="13">
        <v>3958</v>
      </c>
      <c r="G18" s="2">
        <v>8</v>
      </c>
      <c r="H18" s="41">
        <f t="shared" si="7"/>
        <v>3641.36</v>
      </c>
      <c r="I18" s="17">
        <v>5937</v>
      </c>
      <c r="J18" s="2">
        <v>10</v>
      </c>
      <c r="K18" s="41">
        <f t="shared" si="1"/>
        <v>5343.3</v>
      </c>
      <c r="L18" s="10"/>
    </row>
    <row r="19" spans="1:12" ht="22.95" customHeight="1" x14ac:dyDescent="0.2">
      <c r="A19" s="9">
        <v>8</v>
      </c>
      <c r="B19" s="30" t="s">
        <v>27</v>
      </c>
      <c r="C19" s="13">
        <v>1979</v>
      </c>
      <c r="D19" s="2">
        <v>8</v>
      </c>
      <c r="E19" s="41">
        <f t="shared" si="6"/>
        <v>1820.68</v>
      </c>
      <c r="F19" s="13">
        <v>3958</v>
      </c>
      <c r="G19" s="2">
        <v>10</v>
      </c>
      <c r="H19" s="41">
        <f t="shared" si="7"/>
        <v>3562.2</v>
      </c>
      <c r="I19" s="17">
        <v>5937</v>
      </c>
      <c r="J19" s="2">
        <v>12</v>
      </c>
      <c r="K19" s="41">
        <f t="shared" si="1"/>
        <v>5224.5599999999995</v>
      </c>
      <c r="L19" s="10"/>
    </row>
    <row r="20" spans="1:12" ht="22.95" customHeight="1" x14ac:dyDescent="0.2">
      <c r="A20" s="9">
        <v>9</v>
      </c>
      <c r="B20" s="30" t="s">
        <v>28</v>
      </c>
      <c r="C20" s="13">
        <v>1979</v>
      </c>
      <c r="D20" s="2">
        <v>8</v>
      </c>
      <c r="E20" s="41">
        <f t="shared" si="6"/>
        <v>1820.68</v>
      </c>
      <c r="F20" s="13">
        <v>3958</v>
      </c>
      <c r="G20" s="2">
        <v>10</v>
      </c>
      <c r="H20" s="41">
        <f t="shared" si="7"/>
        <v>3562.2</v>
      </c>
      <c r="I20" s="17">
        <v>5937</v>
      </c>
      <c r="J20" s="2">
        <v>12</v>
      </c>
      <c r="K20" s="41">
        <f t="shared" si="1"/>
        <v>5224.5599999999995</v>
      </c>
      <c r="L20" s="10"/>
    </row>
    <row r="21" spans="1:12" ht="22.95" customHeight="1" x14ac:dyDescent="0.2">
      <c r="A21" s="9">
        <v>10</v>
      </c>
      <c r="B21" s="30" t="s">
        <v>29</v>
      </c>
      <c r="C21" s="13">
        <v>1979</v>
      </c>
      <c r="D21" s="2">
        <v>2</v>
      </c>
      <c r="E21" s="41">
        <f t="shared" si="6"/>
        <v>1939.42</v>
      </c>
      <c r="F21" s="13">
        <v>3958</v>
      </c>
      <c r="G21" s="2">
        <v>3</v>
      </c>
      <c r="H21" s="41">
        <f t="shared" si="7"/>
        <v>3839.26</v>
      </c>
      <c r="I21" s="17">
        <v>5937</v>
      </c>
      <c r="J21" s="2">
        <v>4</v>
      </c>
      <c r="K21" s="41">
        <f t="shared" si="1"/>
        <v>5699.52</v>
      </c>
      <c r="L21" s="10"/>
    </row>
    <row r="22" spans="1:12" ht="22.95" customHeight="1" x14ac:dyDescent="0.2">
      <c r="A22" s="9">
        <v>11</v>
      </c>
      <c r="B22" s="30" t="s">
        <v>50</v>
      </c>
      <c r="C22" s="13">
        <v>1979</v>
      </c>
      <c r="D22" s="1">
        <v>2</v>
      </c>
      <c r="E22" s="41">
        <f t="shared" si="6"/>
        <v>1939.42</v>
      </c>
      <c r="F22" s="13">
        <v>3958</v>
      </c>
      <c r="G22" s="2">
        <v>3</v>
      </c>
      <c r="H22" s="41">
        <f t="shared" si="7"/>
        <v>3839.26</v>
      </c>
      <c r="I22" s="17">
        <v>5937</v>
      </c>
      <c r="J22" s="1">
        <v>4</v>
      </c>
      <c r="K22" s="41">
        <f t="shared" si="1"/>
        <v>5699.52</v>
      </c>
      <c r="L22" s="10"/>
    </row>
    <row r="23" spans="1:12" ht="22.95" customHeight="1" x14ac:dyDescent="0.2">
      <c r="A23" s="9">
        <v>12</v>
      </c>
      <c r="B23" s="30" t="s">
        <v>51</v>
      </c>
      <c r="C23" s="13">
        <v>1979</v>
      </c>
      <c r="D23" s="1">
        <v>5</v>
      </c>
      <c r="E23" s="41">
        <f t="shared" si="6"/>
        <v>1880.05</v>
      </c>
      <c r="F23" s="13">
        <v>3958</v>
      </c>
      <c r="G23" s="2">
        <v>6</v>
      </c>
      <c r="H23" s="41">
        <f t="shared" si="7"/>
        <v>3720.52</v>
      </c>
      <c r="I23" s="17">
        <v>5937</v>
      </c>
      <c r="J23" s="1">
        <v>9</v>
      </c>
      <c r="K23" s="41">
        <f t="shared" si="1"/>
        <v>5402.67</v>
      </c>
      <c r="L23" s="10"/>
    </row>
    <row r="24" spans="1:12" ht="22.95" customHeight="1" x14ac:dyDescent="0.2">
      <c r="A24" s="18">
        <v>13</v>
      </c>
      <c r="B24" s="31" t="s">
        <v>52</v>
      </c>
      <c r="C24" s="19">
        <v>1979</v>
      </c>
      <c r="D24" s="20">
        <v>8</v>
      </c>
      <c r="E24" s="42">
        <f t="shared" si="6"/>
        <v>1820.68</v>
      </c>
      <c r="F24" s="19">
        <v>3958</v>
      </c>
      <c r="G24" s="21">
        <v>10</v>
      </c>
      <c r="H24" s="42">
        <f t="shared" si="7"/>
        <v>3562.2</v>
      </c>
      <c r="I24" s="22">
        <v>5937</v>
      </c>
      <c r="J24" s="21">
        <v>12</v>
      </c>
      <c r="K24" s="42">
        <f t="shared" si="1"/>
        <v>5224.5599999999995</v>
      </c>
      <c r="L24" s="10"/>
    </row>
    <row r="25" spans="1:12" ht="22.95" customHeight="1" thickBot="1" x14ac:dyDescent="0.25">
      <c r="A25" s="9" t="s">
        <v>60</v>
      </c>
      <c r="B25" s="39" t="s">
        <v>60</v>
      </c>
      <c r="C25" s="13" t="s">
        <v>60</v>
      </c>
      <c r="D25" s="1"/>
      <c r="E25" s="41" t="str">
        <f t="shared" si="6"/>
        <v/>
      </c>
      <c r="F25" s="13" t="s">
        <v>60</v>
      </c>
      <c r="G25" s="1"/>
      <c r="H25" s="41" t="str">
        <f t="shared" si="7"/>
        <v/>
      </c>
      <c r="I25" s="17" t="s">
        <v>60</v>
      </c>
      <c r="J25" s="2"/>
      <c r="K25" s="41" t="str">
        <f t="shared" si="1"/>
        <v/>
      </c>
      <c r="L25" s="10"/>
    </row>
    <row r="26" spans="1:12" ht="22.1" customHeight="1" thickBot="1" x14ac:dyDescent="0.25">
      <c r="A26" s="52" t="str">
        <f>ROMAN(3,0)&amp;". Литейное оборудование"</f>
        <v>III. Литейное оборудование</v>
      </c>
      <c r="B26" s="53"/>
      <c r="C26" s="53"/>
      <c r="D26" s="53"/>
      <c r="E26" s="53"/>
      <c r="F26" s="53"/>
      <c r="G26" s="53"/>
      <c r="H26" s="53"/>
      <c r="I26" s="53"/>
      <c r="J26" s="53"/>
      <c r="K26" s="54"/>
    </row>
    <row r="27" spans="1:12" ht="22.95" customHeight="1" x14ac:dyDescent="0.2">
      <c r="A27" s="8">
        <v>1</v>
      </c>
      <c r="B27" s="29" t="s">
        <v>8</v>
      </c>
      <c r="C27" s="11">
        <v>1979</v>
      </c>
      <c r="D27" s="15">
        <v>2</v>
      </c>
      <c r="E27" s="40">
        <f t="shared" ref="E27:E29" si="8" xml:space="preserve">    IF( NOT( ISBLANK(D27)), C27-C27*D27/100,"")</f>
        <v>1939.42</v>
      </c>
      <c r="F27" s="11">
        <v>3958</v>
      </c>
      <c r="G27" s="15">
        <v>4</v>
      </c>
      <c r="H27" s="40">
        <f t="shared" ref="H27:H29" si="9" xml:space="preserve">    IF( NOT( ISBLANK(G27)), F27-F27*G27/100,"")</f>
        <v>3799.68</v>
      </c>
      <c r="I27" s="16">
        <v>5937</v>
      </c>
      <c r="J27" s="15">
        <v>6</v>
      </c>
      <c r="K27" s="40">
        <f t="shared" si="1"/>
        <v>5580.78</v>
      </c>
      <c r="L27" s="10"/>
    </row>
    <row r="28" spans="1:12" ht="49.95" customHeight="1" x14ac:dyDescent="0.2">
      <c r="A28" s="9">
        <v>2</v>
      </c>
      <c r="B28" s="30" t="s">
        <v>41</v>
      </c>
      <c r="C28" s="13">
        <v>1979</v>
      </c>
      <c r="D28" s="1">
        <v>8</v>
      </c>
      <c r="E28" s="41">
        <f t="shared" si="8"/>
        <v>1820.68</v>
      </c>
      <c r="F28" s="13">
        <v>3958</v>
      </c>
      <c r="G28" s="1">
        <v>10</v>
      </c>
      <c r="H28" s="41">
        <f t="shared" si="9"/>
        <v>3562.2</v>
      </c>
      <c r="I28" s="17">
        <v>5937</v>
      </c>
      <c r="J28" s="1">
        <v>12</v>
      </c>
      <c r="K28" s="41">
        <f t="shared" si="1"/>
        <v>5224.5599999999995</v>
      </c>
      <c r="L28" s="10"/>
    </row>
    <row r="29" spans="1:12" ht="35" customHeight="1" x14ac:dyDescent="0.2">
      <c r="A29" s="9">
        <v>3</v>
      </c>
      <c r="B29" s="30" t="s">
        <v>9</v>
      </c>
      <c r="C29" s="13">
        <v>1979</v>
      </c>
      <c r="D29" s="1">
        <v>2</v>
      </c>
      <c r="E29" s="41">
        <f t="shared" si="8"/>
        <v>1939.42</v>
      </c>
      <c r="F29" s="13">
        <v>3958</v>
      </c>
      <c r="G29" s="1">
        <v>6</v>
      </c>
      <c r="H29" s="41">
        <f t="shared" si="9"/>
        <v>3720.52</v>
      </c>
      <c r="I29" s="17">
        <v>5937</v>
      </c>
      <c r="J29" s="1">
        <v>10</v>
      </c>
      <c r="K29" s="41">
        <f t="shared" si="1"/>
        <v>5343.3</v>
      </c>
      <c r="L29" s="10"/>
    </row>
    <row r="30" spans="1:12" ht="22.95" customHeight="1" x14ac:dyDescent="0.2">
      <c r="A30" s="9">
        <v>4</v>
      </c>
      <c r="B30" s="30" t="s">
        <v>53</v>
      </c>
      <c r="C30" s="13">
        <v>1979</v>
      </c>
      <c r="D30" s="1">
        <v>4</v>
      </c>
      <c r="E30" s="41">
        <f xml:space="preserve">    IF( NOT( ISBLANK(D30)), C30-C30*D30/100,"")</f>
        <v>1899.84</v>
      </c>
      <c r="F30" s="13">
        <v>3958</v>
      </c>
      <c r="G30" s="1">
        <v>6</v>
      </c>
      <c r="H30" s="41">
        <f xml:space="preserve">    IF( NOT( ISBLANK(G30)), F30-F30*G30/100,"")</f>
        <v>3720.52</v>
      </c>
      <c r="I30" s="17">
        <v>5937</v>
      </c>
      <c r="J30" s="1">
        <v>10</v>
      </c>
      <c r="K30" s="41">
        <f xml:space="preserve">    IF( NOT( ISBLANK(J30)), I30-I30*J30/100,"")</f>
        <v>5343.3</v>
      </c>
      <c r="L30" s="10"/>
    </row>
    <row r="31" spans="1:12" ht="22.95" customHeight="1" x14ac:dyDescent="0.2">
      <c r="A31" s="9">
        <v>5</v>
      </c>
      <c r="B31" s="30" t="s">
        <v>54</v>
      </c>
      <c r="C31" s="13">
        <v>1979</v>
      </c>
      <c r="D31" s="1">
        <v>4</v>
      </c>
      <c r="E31" s="41">
        <f xml:space="preserve">    IF( NOT( ISBLANK(D31)), C31-C31*D31/100,"")</f>
        <v>1899.84</v>
      </c>
      <c r="F31" s="13">
        <v>3958</v>
      </c>
      <c r="G31" s="1">
        <v>6</v>
      </c>
      <c r="H31" s="41">
        <f xml:space="preserve">    IF( NOT( ISBLANK(G31)), F31-F31*G31/100,"")</f>
        <v>3720.52</v>
      </c>
      <c r="I31" s="17">
        <v>5937</v>
      </c>
      <c r="J31" s="1">
        <v>10</v>
      </c>
      <c r="K31" s="41">
        <f xml:space="preserve">    IF( NOT( ISBLANK(J31)), I31-I31*J31/100,"")</f>
        <v>5343.3</v>
      </c>
      <c r="L31" s="10"/>
    </row>
    <row r="32" spans="1:12" ht="22.95" customHeight="1" x14ac:dyDescent="0.2">
      <c r="A32" s="9">
        <v>6</v>
      </c>
      <c r="B32" s="30" t="s">
        <v>5</v>
      </c>
      <c r="C32" s="13">
        <v>1979</v>
      </c>
      <c r="D32" s="2">
        <v>3</v>
      </c>
      <c r="E32" s="41">
        <f xml:space="preserve">    IF( NOT( ISBLANK(D32)), C32-C32*D32/100,"")</f>
        <v>1919.63</v>
      </c>
      <c r="F32" s="13">
        <v>3958</v>
      </c>
      <c r="G32" s="2">
        <v>4</v>
      </c>
      <c r="H32" s="41">
        <f xml:space="preserve">    IF( NOT( ISBLANK(G32)), F32-F32*G32/100,"")</f>
        <v>3799.68</v>
      </c>
      <c r="I32" s="17">
        <v>5937</v>
      </c>
      <c r="J32" s="2">
        <v>6</v>
      </c>
      <c r="K32" s="41">
        <f xml:space="preserve">    IF( NOT( ISBLANK(J32)), I32-I32*J32/100,"")</f>
        <v>5580.78</v>
      </c>
      <c r="L32" s="10"/>
    </row>
    <row r="33" spans="1:12" ht="22.95" customHeight="1" x14ac:dyDescent="0.2">
      <c r="A33" s="9">
        <v>7</v>
      </c>
      <c r="B33" s="30" t="s">
        <v>24</v>
      </c>
      <c r="C33" s="13">
        <v>1979</v>
      </c>
      <c r="D33" s="2">
        <v>3</v>
      </c>
      <c r="E33" s="41">
        <f xml:space="preserve">    IF( NOT( ISBLANK(D33)), C33-C33*D33/100,"")</f>
        <v>1919.63</v>
      </c>
      <c r="F33" s="13">
        <v>3958</v>
      </c>
      <c r="G33" s="2">
        <v>4</v>
      </c>
      <c r="H33" s="41">
        <f xml:space="preserve">    IF( NOT( ISBLANK(G33)), F33-F33*G33/100,"")</f>
        <v>3799.68</v>
      </c>
      <c r="I33" s="17">
        <v>5937</v>
      </c>
      <c r="J33" s="2">
        <v>6</v>
      </c>
      <c r="K33" s="41">
        <f xml:space="preserve">    IF( NOT( ISBLANK(J33)), I33-I33*J33/100,"")</f>
        <v>5580.78</v>
      </c>
      <c r="L33" s="10"/>
    </row>
    <row r="34" spans="1:12" ht="22.95" customHeight="1" x14ac:dyDescent="0.2">
      <c r="A34" s="18">
        <v>8</v>
      </c>
      <c r="B34" s="31" t="s">
        <v>55</v>
      </c>
      <c r="C34" s="19">
        <v>1979</v>
      </c>
      <c r="D34" s="21">
        <v>5</v>
      </c>
      <c r="E34" s="42">
        <f t="shared" ref="E34:E35" si="10" xml:space="preserve">    IF( NOT( ISBLANK(D34)), C34-C34*D34/100,"")</f>
        <v>1880.05</v>
      </c>
      <c r="F34" s="19">
        <v>3958</v>
      </c>
      <c r="G34" s="21">
        <v>8</v>
      </c>
      <c r="H34" s="42">
        <f t="shared" ref="H34:H35" si="11" xml:space="preserve">    IF( NOT( ISBLANK(G34)), F34-F34*G34/100,"")</f>
        <v>3641.36</v>
      </c>
      <c r="I34" s="22">
        <v>5937</v>
      </c>
      <c r="J34" s="20">
        <v>12</v>
      </c>
      <c r="K34" s="42">
        <f t="shared" ref="K34:K35" si="12" xml:space="preserve">    IF( NOT( ISBLANK(J34)), I34-I34*J34/100,"")</f>
        <v>5224.5599999999995</v>
      </c>
      <c r="L34" s="10"/>
    </row>
    <row r="35" spans="1:12" ht="22.95" customHeight="1" thickBot="1" x14ac:dyDescent="0.25">
      <c r="A35" s="9" t="s">
        <v>60</v>
      </c>
      <c r="B35" s="39" t="s">
        <v>60</v>
      </c>
      <c r="C35" s="13" t="s">
        <v>60</v>
      </c>
      <c r="D35" s="1"/>
      <c r="E35" s="41" t="str">
        <f t="shared" si="10"/>
        <v/>
      </c>
      <c r="F35" s="13" t="s">
        <v>60</v>
      </c>
      <c r="G35" s="1"/>
      <c r="H35" s="41" t="str">
        <f t="shared" si="11"/>
        <v/>
      </c>
      <c r="I35" s="17" t="s">
        <v>60</v>
      </c>
      <c r="J35" s="2"/>
      <c r="K35" s="41" t="str">
        <f t="shared" si="12"/>
        <v/>
      </c>
      <c r="L35" s="10"/>
    </row>
    <row r="36" spans="1:12" ht="22.1" customHeight="1" thickBot="1" x14ac:dyDescent="0.25">
      <c r="A36" s="45" t="str">
        <f>ROMAN(4,0)&amp;". Термическое оборудование"</f>
        <v>IV. Термическое оборудование</v>
      </c>
      <c r="B36" s="46"/>
      <c r="C36" s="46"/>
      <c r="D36" s="46"/>
      <c r="E36" s="46"/>
      <c r="F36" s="46"/>
      <c r="G36" s="46"/>
      <c r="H36" s="46"/>
      <c r="I36" s="46"/>
      <c r="J36" s="46"/>
      <c r="K36" s="47"/>
    </row>
    <row r="37" spans="1:12" ht="22.95" customHeight="1" x14ac:dyDescent="0.2">
      <c r="A37" s="9">
        <v>1</v>
      </c>
      <c r="B37" s="30" t="s">
        <v>44</v>
      </c>
      <c r="C37" s="13">
        <v>1979</v>
      </c>
      <c r="D37" s="1">
        <v>4</v>
      </c>
      <c r="E37" s="41">
        <f t="shared" ref="E37:E55" si="13" xml:space="preserve">    IF( NOT( ISBLANK(D37)), C37-C37*D37/100,"")</f>
        <v>1899.84</v>
      </c>
      <c r="F37" s="13">
        <v>3958</v>
      </c>
      <c r="G37" s="1">
        <v>6</v>
      </c>
      <c r="H37" s="41">
        <f t="shared" ref="H37:H44" si="14" xml:space="preserve">    IF( NOT( ISBLANK(G37)), F37-F37*G37/100,"")</f>
        <v>3720.52</v>
      </c>
      <c r="I37" s="17">
        <v>5937</v>
      </c>
      <c r="J37" s="2">
        <v>10</v>
      </c>
      <c r="K37" s="41">
        <f t="shared" si="1"/>
        <v>5343.3</v>
      </c>
      <c r="L37" s="10"/>
    </row>
    <row r="38" spans="1:12" ht="22.95" customHeight="1" x14ac:dyDescent="0.2">
      <c r="A38" s="9">
        <v>2</v>
      </c>
      <c r="B38" s="30" t="s">
        <v>56</v>
      </c>
      <c r="C38" s="13"/>
      <c r="D38" s="1"/>
      <c r="E38" s="41"/>
      <c r="F38" s="13"/>
      <c r="G38" s="1"/>
      <c r="H38" s="41"/>
      <c r="I38" s="17"/>
      <c r="J38" s="2"/>
      <c r="K38" s="41"/>
      <c r="L38" s="10"/>
    </row>
    <row r="39" spans="1:12" ht="22.95" customHeight="1" x14ac:dyDescent="0.2">
      <c r="A39" s="23"/>
      <c r="B39" s="30" t="s">
        <v>10</v>
      </c>
      <c r="C39" s="13">
        <v>1979</v>
      </c>
      <c r="D39" s="1">
        <v>5</v>
      </c>
      <c r="E39" s="41">
        <f t="shared" si="13"/>
        <v>1880.05</v>
      </c>
      <c r="F39" s="13">
        <v>3958</v>
      </c>
      <c r="G39" s="1">
        <v>7</v>
      </c>
      <c r="H39" s="41">
        <f t="shared" si="14"/>
        <v>3680.94</v>
      </c>
      <c r="I39" s="17">
        <v>5937</v>
      </c>
      <c r="J39" s="1">
        <v>10</v>
      </c>
      <c r="K39" s="41">
        <f t="shared" si="1"/>
        <v>5343.3</v>
      </c>
      <c r="L39" s="10"/>
    </row>
    <row r="40" spans="1:12" ht="22.95" customHeight="1" x14ac:dyDescent="0.2">
      <c r="A40" s="23"/>
      <c r="B40" s="30" t="s">
        <v>11</v>
      </c>
      <c r="C40" s="13">
        <v>1979</v>
      </c>
      <c r="D40" s="1">
        <v>3</v>
      </c>
      <c r="E40" s="41">
        <f t="shared" si="13"/>
        <v>1919.63</v>
      </c>
      <c r="F40" s="13">
        <v>3958</v>
      </c>
      <c r="G40" s="1">
        <v>4</v>
      </c>
      <c r="H40" s="41">
        <f t="shared" si="14"/>
        <v>3799.68</v>
      </c>
      <c r="I40" s="17">
        <v>5937</v>
      </c>
      <c r="J40" s="1">
        <v>6</v>
      </c>
      <c r="K40" s="41">
        <f t="shared" si="1"/>
        <v>5580.78</v>
      </c>
      <c r="L40" s="10"/>
    </row>
    <row r="41" spans="1:12" ht="22.95" customHeight="1" x14ac:dyDescent="0.2">
      <c r="A41" s="9">
        <v>3</v>
      </c>
      <c r="B41" s="30" t="s">
        <v>12</v>
      </c>
      <c r="C41" s="13">
        <v>1979</v>
      </c>
      <c r="D41" s="1">
        <v>3</v>
      </c>
      <c r="E41" s="41">
        <f t="shared" si="13"/>
        <v>1919.63</v>
      </c>
      <c r="F41" s="13">
        <v>3958</v>
      </c>
      <c r="G41" s="2">
        <v>5</v>
      </c>
      <c r="H41" s="41">
        <f t="shared" si="14"/>
        <v>3760.1</v>
      </c>
      <c r="I41" s="17">
        <v>5937</v>
      </c>
      <c r="J41" s="2">
        <v>8</v>
      </c>
      <c r="K41" s="41">
        <f t="shared" si="1"/>
        <v>5462.04</v>
      </c>
      <c r="L41" s="10"/>
    </row>
    <row r="42" spans="1:12" ht="22.95" customHeight="1" x14ac:dyDescent="0.2">
      <c r="A42" s="9">
        <v>4</v>
      </c>
      <c r="B42" s="30" t="s">
        <v>45</v>
      </c>
      <c r="C42" s="13">
        <v>1979</v>
      </c>
      <c r="D42" s="1">
        <v>5</v>
      </c>
      <c r="E42" s="41">
        <f t="shared" si="13"/>
        <v>1880.05</v>
      </c>
      <c r="F42" s="13">
        <v>3958</v>
      </c>
      <c r="G42" s="1">
        <v>8</v>
      </c>
      <c r="H42" s="41">
        <f t="shared" si="14"/>
        <v>3641.36</v>
      </c>
      <c r="I42" s="17">
        <v>5937</v>
      </c>
      <c r="J42" s="1">
        <v>11</v>
      </c>
      <c r="K42" s="41">
        <f t="shared" si="1"/>
        <v>5283.93</v>
      </c>
      <c r="L42" s="10"/>
    </row>
    <row r="43" spans="1:12" ht="22.95" customHeight="1" x14ac:dyDescent="0.2">
      <c r="A43" s="9">
        <v>5</v>
      </c>
      <c r="B43" s="30" t="s">
        <v>57</v>
      </c>
      <c r="C43" s="13">
        <v>1979</v>
      </c>
      <c r="D43" s="1">
        <v>6</v>
      </c>
      <c r="E43" s="41">
        <f t="shared" si="13"/>
        <v>1860.26</v>
      </c>
      <c r="F43" s="13">
        <v>3958</v>
      </c>
      <c r="G43" s="2">
        <v>10</v>
      </c>
      <c r="H43" s="41">
        <f t="shared" si="14"/>
        <v>3562.2</v>
      </c>
      <c r="I43" s="17">
        <v>5937</v>
      </c>
      <c r="J43" s="1">
        <v>12</v>
      </c>
      <c r="K43" s="41">
        <f t="shared" si="1"/>
        <v>5224.5599999999995</v>
      </c>
      <c r="L43" s="10"/>
    </row>
    <row r="44" spans="1:12" ht="22.95" customHeight="1" thickBot="1" x14ac:dyDescent="0.25">
      <c r="A44" s="9" t="s">
        <v>60</v>
      </c>
      <c r="B44" s="39" t="s">
        <v>60</v>
      </c>
      <c r="C44" s="13" t="s">
        <v>60</v>
      </c>
      <c r="D44" s="1"/>
      <c r="E44" s="41" t="str">
        <f t="shared" si="13"/>
        <v/>
      </c>
      <c r="F44" s="13" t="s">
        <v>60</v>
      </c>
      <c r="G44" s="1"/>
      <c r="H44" s="41" t="str">
        <f t="shared" si="14"/>
        <v/>
      </c>
      <c r="I44" s="17" t="s">
        <v>60</v>
      </c>
      <c r="J44" s="2"/>
      <c r="K44" s="41" t="str">
        <f t="shared" si="1"/>
        <v/>
      </c>
      <c r="L44" s="10"/>
    </row>
    <row r="45" spans="1:12" ht="22.1" customHeight="1" thickBot="1" x14ac:dyDescent="0.25">
      <c r="A45" s="45" t="str">
        <f>ROMAN(5,0)&amp;". Оборудование для нанесения защитных покрытий"</f>
        <v>V. Оборудование для нанесения защитных покрытий</v>
      </c>
      <c r="B45" s="46"/>
      <c r="C45" s="46"/>
      <c r="D45" s="46"/>
      <c r="E45" s="46"/>
      <c r="F45" s="46"/>
      <c r="G45" s="46"/>
      <c r="H45" s="46"/>
      <c r="I45" s="46"/>
      <c r="J45" s="46"/>
      <c r="K45" s="47"/>
    </row>
    <row r="46" spans="1:12" ht="22.95" customHeight="1" x14ac:dyDescent="0.2">
      <c r="A46" s="8">
        <v>1</v>
      </c>
      <c r="B46" s="29" t="s">
        <v>6</v>
      </c>
      <c r="C46" s="11">
        <v>1979</v>
      </c>
      <c r="D46" s="24">
        <v>2</v>
      </c>
      <c r="E46" s="43">
        <f t="shared" si="13"/>
        <v>1939.42</v>
      </c>
      <c r="F46" s="11">
        <v>3958</v>
      </c>
      <c r="G46" s="15">
        <v>3</v>
      </c>
      <c r="H46" s="40">
        <f t="shared" ref="H46:H48" si="15" xml:space="preserve">    IF( NOT( ISBLANK(G46)), F46-F46*G46/100,"")</f>
        <v>3839.26</v>
      </c>
      <c r="I46" s="16">
        <v>5937</v>
      </c>
      <c r="J46" s="15">
        <v>4</v>
      </c>
      <c r="K46" s="40">
        <v>5700</v>
      </c>
      <c r="L46" s="10"/>
    </row>
    <row r="47" spans="1:12" ht="22.95" customHeight="1" x14ac:dyDescent="0.2">
      <c r="A47" s="9">
        <v>2</v>
      </c>
      <c r="B47" s="30" t="s">
        <v>13</v>
      </c>
      <c r="C47" s="13">
        <v>1979</v>
      </c>
      <c r="D47" s="1">
        <v>5</v>
      </c>
      <c r="E47" s="41">
        <f t="shared" si="13"/>
        <v>1880.05</v>
      </c>
      <c r="F47" s="13">
        <v>3958</v>
      </c>
      <c r="G47" s="2">
        <v>8</v>
      </c>
      <c r="H47" s="41">
        <f t="shared" si="15"/>
        <v>3641.36</v>
      </c>
      <c r="I47" s="17">
        <v>5937</v>
      </c>
      <c r="J47" s="1">
        <v>10</v>
      </c>
      <c r="K47" s="41">
        <f t="shared" ref="K47:K48" si="16" xml:space="preserve">    IF( NOT( ISBLANK(J47)), I47-I47*J47/100,"")</f>
        <v>5343.3</v>
      </c>
      <c r="L47" s="10"/>
    </row>
    <row r="48" spans="1:12" ht="22.95" customHeight="1" thickBot="1" x14ac:dyDescent="0.25">
      <c r="A48" s="9" t="s">
        <v>60</v>
      </c>
      <c r="B48" s="39" t="s">
        <v>60</v>
      </c>
      <c r="C48" s="13" t="s">
        <v>60</v>
      </c>
      <c r="D48" s="1"/>
      <c r="E48" s="41" t="str">
        <f t="shared" ref="E48" si="17" xml:space="preserve">    IF( NOT( ISBLANK(D48)), C48-C48*D48/100,"")</f>
        <v/>
      </c>
      <c r="F48" s="13" t="s">
        <v>60</v>
      </c>
      <c r="G48" s="1"/>
      <c r="H48" s="41" t="str">
        <f t="shared" si="15"/>
        <v/>
      </c>
      <c r="I48" s="17" t="s">
        <v>60</v>
      </c>
      <c r="J48" s="2"/>
      <c r="K48" s="41" t="str">
        <f t="shared" si="16"/>
        <v/>
      </c>
      <c r="L48" s="10"/>
    </row>
    <row r="49" spans="1:12" ht="22.1" customHeight="1" thickBot="1" x14ac:dyDescent="0.25">
      <c r="A49" s="45" t="str">
        <f>ROMAN(6,0)&amp;". Оборудование для агрегатной и окончательной сборки"</f>
        <v>VI. Оборудование для агрегатной и окончательной сборки</v>
      </c>
      <c r="B49" s="46"/>
      <c r="C49" s="46"/>
      <c r="D49" s="46"/>
      <c r="E49" s="46"/>
      <c r="F49" s="46"/>
      <c r="G49" s="46"/>
      <c r="H49" s="46"/>
      <c r="I49" s="46"/>
      <c r="J49" s="46"/>
      <c r="K49" s="47"/>
    </row>
    <row r="50" spans="1:12" ht="22.95" customHeight="1" x14ac:dyDescent="0.2">
      <c r="A50" s="8">
        <v>1</v>
      </c>
      <c r="B50" s="29" t="s">
        <v>58</v>
      </c>
      <c r="C50" s="11">
        <v>1979</v>
      </c>
      <c r="D50" s="15">
        <v>2</v>
      </c>
      <c r="E50" s="40">
        <f t="shared" si="13"/>
        <v>1939.42</v>
      </c>
      <c r="F50" s="11">
        <v>3958</v>
      </c>
      <c r="G50" s="15">
        <v>3</v>
      </c>
      <c r="H50" s="40">
        <f t="shared" ref="H50:H55" si="18" xml:space="preserve">    IF( NOT( ISBLANK(G50)), F50-F50*G50/100,"")</f>
        <v>3839.26</v>
      </c>
      <c r="I50" s="16">
        <v>5937</v>
      </c>
      <c r="J50" s="15">
        <v>4</v>
      </c>
      <c r="K50" s="40">
        <f t="shared" ref="K50:K71" si="19" xml:space="preserve">    IF( NOT( ISBLANK(J50)), I50-I50*J50/100,"")</f>
        <v>5699.52</v>
      </c>
      <c r="L50" s="10"/>
    </row>
    <row r="51" spans="1:12" ht="35" customHeight="1" x14ac:dyDescent="0.2">
      <c r="A51" s="9">
        <v>2</v>
      </c>
      <c r="B51" s="30" t="s">
        <v>30</v>
      </c>
      <c r="C51" s="13">
        <v>1979</v>
      </c>
      <c r="D51" s="2">
        <v>4</v>
      </c>
      <c r="E51" s="41">
        <f t="shared" si="13"/>
        <v>1899.84</v>
      </c>
      <c r="F51" s="13">
        <v>3958</v>
      </c>
      <c r="G51" s="2">
        <v>6</v>
      </c>
      <c r="H51" s="41">
        <f t="shared" si="18"/>
        <v>3720.52</v>
      </c>
      <c r="I51" s="17">
        <v>5937</v>
      </c>
      <c r="J51" s="2">
        <v>10</v>
      </c>
      <c r="K51" s="41">
        <f t="shared" si="19"/>
        <v>5343.3</v>
      </c>
      <c r="L51" s="10"/>
    </row>
    <row r="52" spans="1:12" ht="22.95" customHeight="1" x14ac:dyDescent="0.2">
      <c r="A52" s="9">
        <v>3</v>
      </c>
      <c r="B52" s="30" t="s">
        <v>31</v>
      </c>
      <c r="C52" s="13">
        <v>1979</v>
      </c>
      <c r="D52" s="2">
        <v>2</v>
      </c>
      <c r="E52" s="41">
        <f t="shared" si="13"/>
        <v>1939.42</v>
      </c>
      <c r="F52" s="13">
        <v>3958</v>
      </c>
      <c r="G52" s="2">
        <v>3</v>
      </c>
      <c r="H52" s="41">
        <f t="shared" si="18"/>
        <v>3839.26</v>
      </c>
      <c r="I52" s="17">
        <v>5937</v>
      </c>
      <c r="J52" s="2">
        <v>4</v>
      </c>
      <c r="K52" s="41">
        <f t="shared" si="19"/>
        <v>5699.52</v>
      </c>
      <c r="L52" s="10"/>
    </row>
    <row r="53" spans="1:12" ht="22.95" customHeight="1" x14ac:dyDescent="0.2">
      <c r="A53" s="9">
        <v>4</v>
      </c>
      <c r="B53" s="30" t="s">
        <v>32</v>
      </c>
      <c r="C53" s="13">
        <v>1979</v>
      </c>
      <c r="D53" s="1">
        <v>1</v>
      </c>
      <c r="E53" s="41">
        <f t="shared" si="13"/>
        <v>1959.21</v>
      </c>
      <c r="F53" s="13">
        <v>3958</v>
      </c>
      <c r="G53" s="1">
        <v>2</v>
      </c>
      <c r="H53" s="41">
        <f t="shared" si="18"/>
        <v>3878.84</v>
      </c>
      <c r="I53" s="17">
        <v>5937</v>
      </c>
      <c r="J53" s="1">
        <v>2</v>
      </c>
      <c r="K53" s="41">
        <f t="shared" si="19"/>
        <v>5818.26</v>
      </c>
      <c r="L53" s="10"/>
    </row>
    <row r="54" spans="1:12" ht="35" customHeight="1" x14ac:dyDescent="0.2">
      <c r="A54" s="9">
        <v>5</v>
      </c>
      <c r="B54" s="30" t="s">
        <v>33</v>
      </c>
      <c r="C54" s="13">
        <v>1979</v>
      </c>
      <c r="D54" s="1">
        <v>4</v>
      </c>
      <c r="E54" s="41">
        <f t="shared" si="13"/>
        <v>1899.84</v>
      </c>
      <c r="F54" s="13">
        <v>3958</v>
      </c>
      <c r="G54" s="1">
        <v>6</v>
      </c>
      <c r="H54" s="41">
        <f t="shared" si="18"/>
        <v>3720.52</v>
      </c>
      <c r="I54" s="17">
        <v>5937</v>
      </c>
      <c r="J54" s="1">
        <v>10</v>
      </c>
      <c r="K54" s="41">
        <f t="shared" si="19"/>
        <v>5343.3</v>
      </c>
      <c r="L54" s="10"/>
    </row>
    <row r="55" spans="1:12" ht="22.95" customHeight="1" thickBot="1" x14ac:dyDescent="0.25">
      <c r="A55" s="9" t="s">
        <v>60</v>
      </c>
      <c r="B55" s="39" t="s">
        <v>60</v>
      </c>
      <c r="C55" s="13" t="s">
        <v>60</v>
      </c>
      <c r="D55" s="1"/>
      <c r="E55" s="41" t="str">
        <f t="shared" si="13"/>
        <v/>
      </c>
      <c r="F55" s="13" t="s">
        <v>60</v>
      </c>
      <c r="G55" s="1"/>
      <c r="H55" s="41" t="str">
        <f t="shared" si="18"/>
        <v/>
      </c>
      <c r="I55" s="17" t="s">
        <v>60</v>
      </c>
      <c r="J55" s="2"/>
      <c r="K55" s="41" t="str">
        <f t="shared" si="19"/>
        <v/>
      </c>
      <c r="L55" s="10"/>
    </row>
    <row r="56" spans="1:12" ht="22.1" customHeight="1" thickBot="1" x14ac:dyDescent="0.25">
      <c r="A56" s="45" t="str">
        <f>ROMAN(7,0)&amp;". Сварочное оборудование"</f>
        <v>VII. Сварочное оборудование</v>
      </c>
      <c r="B56" s="46"/>
      <c r="C56" s="46"/>
      <c r="D56" s="46"/>
      <c r="E56" s="46"/>
      <c r="F56" s="46"/>
      <c r="G56" s="46"/>
      <c r="H56" s="46"/>
      <c r="I56" s="46"/>
      <c r="J56" s="46"/>
      <c r="K56" s="47"/>
    </row>
    <row r="57" spans="1:12" ht="80" customHeight="1" x14ac:dyDescent="0.2">
      <c r="A57" s="8">
        <v>1</v>
      </c>
      <c r="B57" s="32" t="s">
        <v>34</v>
      </c>
      <c r="C57" s="11">
        <v>1979</v>
      </c>
      <c r="D57" s="12">
        <v>3</v>
      </c>
      <c r="E57" s="40">
        <f t="shared" ref="E57:E62" si="20" xml:space="preserve">    IF( NOT( ISBLANK(D57)), C57-C57*D57/100,"")</f>
        <v>1919.63</v>
      </c>
      <c r="F57" s="11">
        <v>3958</v>
      </c>
      <c r="G57" s="12">
        <v>5</v>
      </c>
      <c r="H57" s="40">
        <f t="shared" ref="H57:H62" si="21" xml:space="preserve">    IF( NOT( ISBLANK(G57)), F57-F57*G57/100,"")</f>
        <v>3760.1</v>
      </c>
      <c r="I57" s="16">
        <v>5937</v>
      </c>
      <c r="J57" s="12">
        <v>7</v>
      </c>
      <c r="K57" s="40">
        <f t="shared" si="19"/>
        <v>5521.41</v>
      </c>
      <c r="L57" s="10"/>
    </row>
    <row r="58" spans="1:12" ht="22.95" customHeight="1" x14ac:dyDescent="0.2">
      <c r="A58" s="9">
        <v>2</v>
      </c>
      <c r="B58" s="33" t="s">
        <v>59</v>
      </c>
      <c r="C58" s="13">
        <v>1979</v>
      </c>
      <c r="D58" s="1">
        <v>2</v>
      </c>
      <c r="E58" s="41">
        <f t="shared" si="20"/>
        <v>1939.42</v>
      </c>
      <c r="F58" s="13">
        <v>3958</v>
      </c>
      <c r="G58" s="2">
        <v>3</v>
      </c>
      <c r="H58" s="41">
        <f t="shared" si="21"/>
        <v>3839.26</v>
      </c>
      <c r="I58" s="17">
        <v>5937</v>
      </c>
      <c r="J58" s="2">
        <v>4</v>
      </c>
      <c r="K58" s="41">
        <f t="shared" si="19"/>
        <v>5699.52</v>
      </c>
      <c r="L58" s="10"/>
    </row>
    <row r="59" spans="1:12" ht="22.95" customHeight="1" x14ac:dyDescent="0.2">
      <c r="A59" s="9">
        <v>3</v>
      </c>
      <c r="B59" s="33" t="s">
        <v>35</v>
      </c>
      <c r="C59" s="13">
        <v>1979</v>
      </c>
      <c r="D59" s="2">
        <v>4</v>
      </c>
      <c r="E59" s="41">
        <f t="shared" si="20"/>
        <v>1899.84</v>
      </c>
      <c r="F59" s="13">
        <v>3958</v>
      </c>
      <c r="G59" s="2">
        <v>6</v>
      </c>
      <c r="H59" s="41">
        <f t="shared" si="21"/>
        <v>3720.52</v>
      </c>
      <c r="I59" s="17">
        <v>5937</v>
      </c>
      <c r="J59" s="3">
        <v>8</v>
      </c>
      <c r="K59" s="41">
        <f t="shared" si="19"/>
        <v>5462.04</v>
      </c>
      <c r="L59" s="10"/>
    </row>
    <row r="60" spans="1:12" ht="35" customHeight="1" x14ac:dyDescent="0.2">
      <c r="A60" s="9">
        <v>4</v>
      </c>
      <c r="B60" s="33" t="s">
        <v>36</v>
      </c>
      <c r="C60" s="13">
        <v>1979</v>
      </c>
      <c r="D60" s="2">
        <v>4</v>
      </c>
      <c r="E60" s="41">
        <f t="shared" si="20"/>
        <v>1899.84</v>
      </c>
      <c r="F60" s="13">
        <v>3958</v>
      </c>
      <c r="G60" s="1">
        <v>7</v>
      </c>
      <c r="H60" s="41">
        <f t="shared" si="21"/>
        <v>3680.94</v>
      </c>
      <c r="I60" s="17">
        <v>5937</v>
      </c>
      <c r="J60" s="1">
        <v>10</v>
      </c>
      <c r="K60" s="41">
        <f t="shared" si="19"/>
        <v>5343.3</v>
      </c>
      <c r="L60" s="10"/>
    </row>
    <row r="61" spans="1:12" ht="22.95" customHeight="1" x14ac:dyDescent="0.2">
      <c r="A61" s="9">
        <v>5</v>
      </c>
      <c r="B61" s="33" t="s">
        <v>14</v>
      </c>
      <c r="C61" s="13">
        <v>1979</v>
      </c>
      <c r="D61" s="1">
        <v>1</v>
      </c>
      <c r="E61" s="41">
        <f t="shared" si="20"/>
        <v>1959.21</v>
      </c>
      <c r="F61" s="13">
        <v>3958</v>
      </c>
      <c r="G61" s="2">
        <v>2</v>
      </c>
      <c r="H61" s="41">
        <f t="shared" si="21"/>
        <v>3878.84</v>
      </c>
      <c r="I61" s="17">
        <v>5937</v>
      </c>
      <c r="J61" s="2">
        <v>2</v>
      </c>
      <c r="K61" s="41">
        <f t="shared" si="19"/>
        <v>5818.26</v>
      </c>
      <c r="L61" s="10"/>
    </row>
    <row r="62" spans="1:12" ht="22.95" customHeight="1" thickBot="1" x14ac:dyDescent="0.25">
      <c r="A62" s="9" t="s">
        <v>60</v>
      </c>
      <c r="B62" s="39" t="s">
        <v>60</v>
      </c>
      <c r="C62" s="13" t="s">
        <v>60</v>
      </c>
      <c r="D62" s="1"/>
      <c r="E62" s="41" t="str">
        <f t="shared" si="20"/>
        <v/>
      </c>
      <c r="F62" s="13" t="s">
        <v>60</v>
      </c>
      <c r="G62" s="1"/>
      <c r="H62" s="41" t="str">
        <f t="shared" si="21"/>
        <v/>
      </c>
      <c r="I62" s="17" t="s">
        <v>60</v>
      </c>
      <c r="J62" s="2"/>
      <c r="K62" s="41" t="str">
        <f t="shared" ref="K62" si="22" xml:space="preserve">    IF( NOT( ISBLANK(J62)), I62-I62*J62/100,"")</f>
        <v/>
      </c>
      <c r="L62" s="10"/>
    </row>
    <row r="63" spans="1:12" ht="22.1" customHeight="1" thickBot="1" x14ac:dyDescent="0.25">
      <c r="A63" s="45" t="str">
        <f>ROMAN(8,0)&amp;". Металлорежущее металлообрабатывающее оборудование механических и механосборочных цехов"</f>
        <v>VIII. Металлорежущее металлообрабатывающее оборудование механических и механосборочных цехов</v>
      </c>
      <c r="B63" s="46"/>
      <c r="C63" s="46"/>
      <c r="D63" s="46"/>
      <c r="E63" s="46"/>
      <c r="F63" s="46"/>
      <c r="G63" s="46"/>
      <c r="H63" s="46"/>
      <c r="I63" s="46"/>
      <c r="J63" s="46"/>
      <c r="K63" s="47"/>
    </row>
    <row r="64" spans="1:12" ht="22.95" customHeight="1" x14ac:dyDescent="0.2">
      <c r="A64" s="8">
        <v>1</v>
      </c>
      <c r="B64" s="29" t="s">
        <v>37</v>
      </c>
      <c r="C64" s="11">
        <v>1979</v>
      </c>
      <c r="D64" s="12">
        <v>2</v>
      </c>
      <c r="E64" s="43">
        <f t="shared" ref="E64:E68" si="23" xml:space="preserve">    IF( NOT( ISBLANK(D64)), C64-C64*D64/100,"")</f>
        <v>1939.42</v>
      </c>
      <c r="F64" s="11">
        <v>3958</v>
      </c>
      <c r="G64" s="24">
        <v>3</v>
      </c>
      <c r="H64" s="43">
        <f t="shared" ref="H64:H68" si="24" xml:space="preserve">    IF( NOT( ISBLANK(G64)), F64-F64*G64/100,"")</f>
        <v>3839.26</v>
      </c>
      <c r="I64" s="16">
        <v>5937</v>
      </c>
      <c r="J64" s="12">
        <v>4</v>
      </c>
      <c r="K64" s="40">
        <f t="shared" si="19"/>
        <v>5699.52</v>
      </c>
      <c r="L64" s="10"/>
    </row>
    <row r="65" spans="1:12" ht="65.05" customHeight="1" x14ac:dyDescent="0.2">
      <c r="A65" s="9">
        <v>2</v>
      </c>
      <c r="B65" s="30" t="s">
        <v>39</v>
      </c>
      <c r="C65" s="13">
        <v>1979</v>
      </c>
      <c r="D65" s="2">
        <v>4</v>
      </c>
      <c r="E65" s="44">
        <f t="shared" si="23"/>
        <v>1899.84</v>
      </c>
      <c r="F65" s="25">
        <v>3958</v>
      </c>
      <c r="G65" s="2">
        <v>6</v>
      </c>
      <c r="H65" s="44">
        <f t="shared" si="24"/>
        <v>3720.52</v>
      </c>
      <c r="I65" s="17">
        <v>5937</v>
      </c>
      <c r="J65" s="1">
        <v>10</v>
      </c>
      <c r="K65" s="41">
        <f t="shared" si="19"/>
        <v>5343.3</v>
      </c>
      <c r="L65" s="10"/>
    </row>
    <row r="66" spans="1:12" ht="22.95" customHeight="1" x14ac:dyDescent="0.2">
      <c r="A66" s="9">
        <v>3</v>
      </c>
      <c r="B66" s="30" t="s">
        <v>40</v>
      </c>
      <c r="C66" s="13">
        <v>1979</v>
      </c>
      <c r="D66" s="1">
        <v>3</v>
      </c>
      <c r="E66" s="41">
        <f t="shared" si="23"/>
        <v>1919.63</v>
      </c>
      <c r="F66" s="25">
        <v>3958</v>
      </c>
      <c r="G66" s="2">
        <v>5</v>
      </c>
      <c r="H66" s="41">
        <f t="shared" si="24"/>
        <v>3760.1</v>
      </c>
      <c r="I66" s="17">
        <v>5937</v>
      </c>
      <c r="J66" s="1">
        <v>7</v>
      </c>
      <c r="K66" s="41">
        <f t="shared" si="19"/>
        <v>5521.41</v>
      </c>
      <c r="L66" s="10"/>
    </row>
    <row r="67" spans="1:12" ht="22.95" customHeight="1" x14ac:dyDescent="0.2">
      <c r="A67" s="9">
        <v>4</v>
      </c>
      <c r="B67" s="30" t="s">
        <v>38</v>
      </c>
      <c r="C67" s="13">
        <v>1979</v>
      </c>
      <c r="D67" s="1">
        <v>3</v>
      </c>
      <c r="E67" s="41">
        <f t="shared" si="23"/>
        <v>1919.63</v>
      </c>
      <c r="F67" s="25">
        <v>3958</v>
      </c>
      <c r="G67" s="2">
        <v>5</v>
      </c>
      <c r="H67" s="41">
        <f t="shared" si="24"/>
        <v>3760.1</v>
      </c>
      <c r="I67" s="17">
        <v>5937</v>
      </c>
      <c r="J67" s="1">
        <v>7</v>
      </c>
      <c r="K67" s="41">
        <f t="shared" si="19"/>
        <v>5521.41</v>
      </c>
      <c r="L67" s="10"/>
    </row>
    <row r="68" spans="1:12" ht="22.95" customHeight="1" thickBot="1" x14ac:dyDescent="0.25">
      <c r="A68" s="9" t="s">
        <v>60</v>
      </c>
      <c r="B68" s="39" t="s">
        <v>60</v>
      </c>
      <c r="C68" s="13" t="s">
        <v>60</v>
      </c>
      <c r="D68" s="1"/>
      <c r="E68" s="41" t="str">
        <f t="shared" si="23"/>
        <v/>
      </c>
      <c r="F68" s="13" t="s">
        <v>60</v>
      </c>
      <c r="G68" s="1"/>
      <c r="H68" s="41" t="str">
        <f t="shared" si="24"/>
        <v/>
      </c>
      <c r="I68" s="17" t="s">
        <v>60</v>
      </c>
      <c r="J68" s="2"/>
      <c r="K68" s="41" t="str">
        <f t="shared" si="19"/>
        <v/>
      </c>
      <c r="L68" s="10"/>
    </row>
    <row r="69" spans="1:12" ht="22.1" customHeight="1" thickBot="1" x14ac:dyDescent="0.25">
      <c r="A69" s="45" t="str">
        <f>ROMAN(9,0)&amp;". Деревообрабатывающее оборудование"</f>
        <v>IX. Деревообрабатывающее оборудование</v>
      </c>
      <c r="B69" s="46"/>
      <c r="C69" s="46"/>
      <c r="D69" s="46"/>
      <c r="E69" s="46"/>
      <c r="F69" s="46"/>
      <c r="G69" s="46"/>
      <c r="H69" s="46"/>
      <c r="I69" s="46"/>
      <c r="J69" s="46"/>
      <c r="K69" s="47"/>
    </row>
    <row r="70" spans="1:12" ht="35" customHeight="1" x14ac:dyDescent="0.2">
      <c r="A70" s="8" t="s">
        <v>3</v>
      </c>
      <c r="B70" s="34" t="s">
        <v>15</v>
      </c>
      <c r="C70" s="11">
        <v>1979</v>
      </c>
      <c r="D70" s="15">
        <v>2</v>
      </c>
      <c r="E70" s="40">
        <f t="shared" ref="E70:E72" si="25" xml:space="preserve">    IF( NOT( ISBLANK(D70)), C70-C70*D70/100,"")</f>
        <v>1939.42</v>
      </c>
      <c r="F70" s="11">
        <v>3958</v>
      </c>
      <c r="G70" s="15">
        <v>3</v>
      </c>
      <c r="H70" s="40">
        <f t="shared" ref="H70:H72" si="26" xml:space="preserve">    IF( NOT( ISBLANK(G70)), F70-F70*G70/100,"")</f>
        <v>3839.26</v>
      </c>
      <c r="I70" s="16">
        <v>5937</v>
      </c>
      <c r="J70" s="24">
        <v>4</v>
      </c>
      <c r="K70" s="40">
        <f t="shared" si="19"/>
        <v>5699.52</v>
      </c>
      <c r="L70" s="10"/>
    </row>
    <row r="71" spans="1:12" ht="22.95" customHeight="1" x14ac:dyDescent="0.2">
      <c r="A71" s="9" t="s">
        <v>4</v>
      </c>
      <c r="B71" s="30" t="s">
        <v>16</v>
      </c>
      <c r="C71" s="13">
        <v>1979</v>
      </c>
      <c r="D71" s="1">
        <v>1</v>
      </c>
      <c r="E71" s="41">
        <f t="shared" si="25"/>
        <v>1959.21</v>
      </c>
      <c r="F71" s="25">
        <v>3958</v>
      </c>
      <c r="G71" s="2">
        <v>2</v>
      </c>
      <c r="H71" s="41">
        <f t="shared" si="26"/>
        <v>3878.84</v>
      </c>
      <c r="I71" s="17">
        <v>5937</v>
      </c>
      <c r="J71" s="1">
        <v>3</v>
      </c>
      <c r="K71" s="41">
        <f t="shared" si="19"/>
        <v>5758.89</v>
      </c>
      <c r="L71" s="10"/>
    </row>
    <row r="72" spans="1:12" ht="22.95" customHeight="1" thickBot="1" x14ac:dyDescent="0.25">
      <c r="A72" s="9" t="s">
        <v>60</v>
      </c>
      <c r="B72" s="39" t="s">
        <v>60</v>
      </c>
      <c r="C72" s="13" t="s">
        <v>60</v>
      </c>
      <c r="D72" s="1"/>
      <c r="E72" s="41" t="str">
        <f t="shared" si="25"/>
        <v/>
      </c>
      <c r="F72" s="13" t="s">
        <v>60</v>
      </c>
      <c r="G72" s="1"/>
      <c r="H72" s="41" t="str">
        <f t="shared" si="26"/>
        <v/>
      </c>
      <c r="I72" s="17" t="s">
        <v>60</v>
      </c>
      <c r="J72" s="2"/>
      <c r="K72" s="41" t="str">
        <f t="shared" ref="K72" si="27" xml:space="preserve">    IF( NOT( ISBLANK(J72)), I72-I72*J72/100,"")</f>
        <v/>
      </c>
      <c r="L72" s="10"/>
    </row>
    <row r="73" spans="1:12" ht="22.1" customHeight="1" thickBot="1" x14ac:dyDescent="0.25">
      <c r="A73" s="45" t="str">
        <f>ROMAN(10,0)&amp;". ..."</f>
        <v>X. ...</v>
      </c>
      <c r="B73" s="46"/>
      <c r="C73" s="46"/>
      <c r="D73" s="46"/>
      <c r="E73" s="46"/>
      <c r="F73" s="46"/>
      <c r="G73" s="46"/>
      <c r="H73" s="46"/>
      <c r="I73" s="46"/>
      <c r="J73" s="46"/>
      <c r="K73" s="47"/>
    </row>
    <row r="74" spans="1:12" ht="22.95" customHeight="1" x14ac:dyDescent="0.2">
      <c r="A74" s="9" t="s">
        <v>60</v>
      </c>
      <c r="B74" s="39" t="s">
        <v>60</v>
      </c>
      <c r="C74" s="13" t="s">
        <v>60</v>
      </c>
      <c r="D74" s="1"/>
      <c r="E74" s="14" t="str">
        <f t="shared" ref="E74:E75" si="28" xml:space="preserve">    IF( NOT( ISBLANK(D74)), C74-C74*D74/100,"")</f>
        <v/>
      </c>
      <c r="F74" s="13" t="s">
        <v>60</v>
      </c>
      <c r="G74" s="1"/>
      <c r="H74" s="14" t="str">
        <f t="shared" ref="H74:H75" si="29" xml:space="preserve">    IF( NOT( ISBLANK(G74)), F74-F74*G74/100,"")</f>
        <v/>
      </c>
      <c r="I74" s="17" t="s">
        <v>60</v>
      </c>
      <c r="J74" s="2"/>
      <c r="K74" s="14" t="str">
        <f t="shared" ref="K74:K75" si="30" xml:space="preserve">    IF( NOT( ISBLANK(J74)), I74-I74*J74/100,"")</f>
        <v/>
      </c>
      <c r="L74" s="10"/>
    </row>
    <row r="75" spans="1:12" ht="22.95" customHeight="1" x14ac:dyDescent="0.2">
      <c r="A75" s="9" t="s">
        <v>60</v>
      </c>
      <c r="B75" s="39" t="s">
        <v>60</v>
      </c>
      <c r="C75" s="13" t="s">
        <v>60</v>
      </c>
      <c r="D75" s="1"/>
      <c r="E75" s="14" t="str">
        <f t="shared" si="28"/>
        <v/>
      </c>
      <c r="F75" s="13" t="s">
        <v>60</v>
      </c>
      <c r="G75" s="1"/>
      <c r="H75" s="14" t="str">
        <f t="shared" si="29"/>
        <v/>
      </c>
      <c r="I75" s="17" t="s">
        <v>60</v>
      </c>
      <c r="J75" s="2"/>
      <c r="K75" s="14" t="str">
        <f t="shared" si="30"/>
        <v/>
      </c>
      <c r="L75" s="10"/>
    </row>
    <row r="76" spans="1:12" ht="22.95" customHeight="1" x14ac:dyDescent="0.2">
      <c r="A76" s="9" t="s">
        <v>60</v>
      </c>
      <c r="B76" s="39" t="s">
        <v>60</v>
      </c>
      <c r="C76" s="13" t="s">
        <v>60</v>
      </c>
      <c r="D76" s="1"/>
      <c r="E76" s="14" t="str">
        <f t="shared" ref="E76:E77" si="31" xml:space="preserve">    IF( NOT( ISBLANK(D76)), C76-C76*D76/100,"")</f>
        <v/>
      </c>
      <c r="F76" s="13" t="s">
        <v>60</v>
      </c>
      <c r="G76" s="1"/>
      <c r="H76" s="14" t="str">
        <f t="shared" ref="H76:H77" si="32" xml:space="preserve">    IF( NOT( ISBLANK(G76)), F76-F76*G76/100,"")</f>
        <v/>
      </c>
      <c r="I76" s="17" t="s">
        <v>60</v>
      </c>
      <c r="J76" s="2"/>
      <c r="K76" s="14" t="str">
        <f t="shared" ref="K76:K77" si="33" xml:space="preserve">    IF( NOT( ISBLANK(J76)), I76-I76*J76/100,"")</f>
        <v/>
      </c>
      <c r="L76" s="10"/>
    </row>
    <row r="77" spans="1:12" ht="22.95" customHeight="1" x14ac:dyDescent="0.2">
      <c r="A77" s="9" t="s">
        <v>60</v>
      </c>
      <c r="B77" s="39" t="s">
        <v>60</v>
      </c>
      <c r="C77" s="13" t="s">
        <v>60</v>
      </c>
      <c r="D77" s="1"/>
      <c r="E77" s="14" t="str">
        <f t="shared" si="31"/>
        <v/>
      </c>
      <c r="F77" s="13" t="s">
        <v>60</v>
      </c>
      <c r="G77" s="1"/>
      <c r="H77" s="14" t="str">
        <f t="shared" si="32"/>
        <v/>
      </c>
      <c r="I77" s="17" t="s">
        <v>60</v>
      </c>
      <c r="J77" s="2"/>
      <c r="K77" s="14" t="str">
        <f t="shared" si="33"/>
        <v/>
      </c>
      <c r="L77" s="10"/>
    </row>
    <row r="78" spans="1:12" ht="22.95" customHeight="1" x14ac:dyDescent="0.2">
      <c r="A78" s="9" t="s">
        <v>60</v>
      </c>
      <c r="B78" s="39" t="s">
        <v>60</v>
      </c>
      <c r="C78" s="13" t="s">
        <v>60</v>
      </c>
      <c r="D78" s="1"/>
      <c r="E78" s="14" t="str">
        <f t="shared" ref="E78:E81" si="34" xml:space="preserve">    IF( NOT( ISBLANK(D78)), C78-C78*D78/100,"")</f>
        <v/>
      </c>
      <c r="F78" s="13" t="s">
        <v>60</v>
      </c>
      <c r="G78" s="1"/>
      <c r="H78" s="14" t="str">
        <f t="shared" ref="H78:H81" si="35" xml:space="preserve">    IF( NOT( ISBLANK(G78)), F78-F78*G78/100,"")</f>
        <v/>
      </c>
      <c r="I78" s="17" t="s">
        <v>60</v>
      </c>
      <c r="J78" s="2"/>
      <c r="K78" s="14" t="str">
        <f t="shared" ref="K78:K81" si="36" xml:space="preserve">    IF( NOT( ISBLANK(J78)), I78-I78*J78/100,"")</f>
        <v/>
      </c>
      <c r="L78" s="10"/>
    </row>
    <row r="79" spans="1:12" ht="22.95" customHeight="1" x14ac:dyDescent="0.2">
      <c r="A79" s="9" t="s">
        <v>60</v>
      </c>
      <c r="B79" s="39" t="s">
        <v>60</v>
      </c>
      <c r="C79" s="13" t="s">
        <v>60</v>
      </c>
      <c r="D79" s="1"/>
      <c r="E79" s="14" t="str">
        <f t="shared" si="34"/>
        <v/>
      </c>
      <c r="F79" s="13" t="s">
        <v>60</v>
      </c>
      <c r="G79" s="1"/>
      <c r="H79" s="14" t="str">
        <f t="shared" si="35"/>
        <v/>
      </c>
      <c r="I79" s="17" t="s">
        <v>60</v>
      </c>
      <c r="J79" s="2"/>
      <c r="K79" s="14" t="str">
        <f t="shared" si="36"/>
        <v/>
      </c>
      <c r="L79" s="10"/>
    </row>
    <row r="80" spans="1:12" ht="22.95" customHeight="1" x14ac:dyDescent="0.2">
      <c r="A80" s="9" t="s">
        <v>60</v>
      </c>
      <c r="B80" s="39" t="s">
        <v>60</v>
      </c>
      <c r="C80" s="13" t="s">
        <v>60</v>
      </c>
      <c r="D80" s="1"/>
      <c r="E80" s="14" t="str">
        <f t="shared" si="34"/>
        <v/>
      </c>
      <c r="F80" s="13" t="s">
        <v>60</v>
      </c>
      <c r="G80" s="1"/>
      <c r="H80" s="14" t="str">
        <f t="shared" si="35"/>
        <v/>
      </c>
      <c r="I80" s="17" t="s">
        <v>60</v>
      </c>
      <c r="J80" s="2"/>
      <c r="K80" s="14" t="str">
        <f t="shared" si="36"/>
        <v/>
      </c>
      <c r="L80" s="10"/>
    </row>
    <row r="81" spans="1:12" ht="22.95" customHeight="1" x14ac:dyDescent="0.2">
      <c r="A81" s="9" t="s">
        <v>60</v>
      </c>
      <c r="B81" s="39" t="s">
        <v>60</v>
      </c>
      <c r="C81" s="13" t="s">
        <v>60</v>
      </c>
      <c r="D81" s="1"/>
      <c r="E81" s="14" t="str">
        <f t="shared" si="34"/>
        <v/>
      </c>
      <c r="F81" s="13" t="s">
        <v>60</v>
      </c>
      <c r="G81" s="1"/>
      <c r="H81" s="14" t="str">
        <f t="shared" si="35"/>
        <v/>
      </c>
      <c r="I81" s="17" t="s">
        <v>60</v>
      </c>
      <c r="J81" s="2"/>
      <c r="K81" s="14" t="str">
        <f t="shared" si="36"/>
        <v/>
      </c>
      <c r="L81" s="10"/>
    </row>
    <row r="82" spans="1:12" ht="22.95" customHeight="1" x14ac:dyDescent="0.2">
      <c r="A82" s="9" t="s">
        <v>60</v>
      </c>
      <c r="B82" s="39" t="s">
        <v>60</v>
      </c>
      <c r="C82" s="13" t="s">
        <v>60</v>
      </c>
      <c r="D82" s="1"/>
      <c r="E82" s="14" t="str">
        <f t="shared" ref="E82:E89" si="37" xml:space="preserve">    IF( NOT( ISBLANK(D82)), C82-C82*D82/100,"")</f>
        <v/>
      </c>
      <c r="F82" s="13" t="s">
        <v>60</v>
      </c>
      <c r="G82" s="1"/>
      <c r="H82" s="14" t="str">
        <f t="shared" ref="H82:H89" si="38" xml:space="preserve">    IF( NOT( ISBLANK(G82)), F82-F82*G82/100,"")</f>
        <v/>
      </c>
      <c r="I82" s="17" t="s">
        <v>60</v>
      </c>
      <c r="J82" s="2"/>
      <c r="K82" s="14" t="str">
        <f t="shared" ref="K82:K89" si="39" xml:space="preserve">    IF( NOT( ISBLANK(J82)), I82-I82*J82/100,"")</f>
        <v/>
      </c>
      <c r="L82" s="10"/>
    </row>
    <row r="83" spans="1:12" ht="22.95" customHeight="1" x14ac:dyDescent="0.2">
      <c r="A83" s="9" t="s">
        <v>60</v>
      </c>
      <c r="B83" s="39" t="s">
        <v>60</v>
      </c>
      <c r="C83" s="13" t="s">
        <v>60</v>
      </c>
      <c r="D83" s="1"/>
      <c r="E83" s="14" t="str">
        <f t="shared" si="37"/>
        <v/>
      </c>
      <c r="F83" s="13" t="s">
        <v>60</v>
      </c>
      <c r="G83" s="1"/>
      <c r="H83" s="14" t="str">
        <f t="shared" si="38"/>
        <v/>
      </c>
      <c r="I83" s="17" t="s">
        <v>60</v>
      </c>
      <c r="J83" s="2"/>
      <c r="K83" s="14" t="str">
        <f t="shared" si="39"/>
        <v/>
      </c>
      <c r="L83" s="10"/>
    </row>
    <row r="84" spans="1:12" ht="22.95" customHeight="1" x14ac:dyDescent="0.2">
      <c r="A84" s="9" t="s">
        <v>60</v>
      </c>
      <c r="B84" s="39" t="s">
        <v>60</v>
      </c>
      <c r="C84" s="13" t="s">
        <v>60</v>
      </c>
      <c r="D84" s="1"/>
      <c r="E84" s="14" t="str">
        <f t="shared" si="37"/>
        <v/>
      </c>
      <c r="F84" s="13" t="s">
        <v>60</v>
      </c>
      <c r="G84" s="1"/>
      <c r="H84" s="14" t="str">
        <f t="shared" si="38"/>
        <v/>
      </c>
      <c r="I84" s="17" t="s">
        <v>60</v>
      </c>
      <c r="J84" s="2"/>
      <c r="K84" s="14" t="str">
        <f t="shared" si="39"/>
        <v/>
      </c>
      <c r="L84" s="10"/>
    </row>
    <row r="85" spans="1:12" ht="22.95" customHeight="1" x14ac:dyDescent="0.2">
      <c r="A85" s="9" t="s">
        <v>60</v>
      </c>
      <c r="B85" s="39" t="s">
        <v>60</v>
      </c>
      <c r="C85" s="13" t="s">
        <v>60</v>
      </c>
      <c r="D85" s="1"/>
      <c r="E85" s="14" t="str">
        <f t="shared" si="37"/>
        <v/>
      </c>
      <c r="F85" s="13" t="s">
        <v>60</v>
      </c>
      <c r="G85" s="1"/>
      <c r="H85" s="14" t="str">
        <f t="shared" si="38"/>
        <v/>
      </c>
      <c r="I85" s="17" t="s">
        <v>60</v>
      </c>
      <c r="J85" s="2"/>
      <c r="K85" s="14" t="str">
        <f t="shared" si="39"/>
        <v/>
      </c>
      <c r="L85" s="10"/>
    </row>
    <row r="86" spans="1:12" ht="22.95" customHeight="1" x14ac:dyDescent="0.2">
      <c r="A86" s="9" t="s">
        <v>60</v>
      </c>
      <c r="B86" s="39" t="s">
        <v>60</v>
      </c>
      <c r="C86" s="13" t="s">
        <v>60</v>
      </c>
      <c r="D86" s="1"/>
      <c r="E86" s="14" t="str">
        <f t="shared" si="37"/>
        <v/>
      </c>
      <c r="F86" s="13" t="s">
        <v>60</v>
      </c>
      <c r="G86" s="1"/>
      <c r="H86" s="14" t="str">
        <f t="shared" si="38"/>
        <v/>
      </c>
      <c r="I86" s="17" t="s">
        <v>60</v>
      </c>
      <c r="J86" s="2"/>
      <c r="K86" s="14" t="str">
        <f t="shared" si="39"/>
        <v/>
      </c>
      <c r="L86" s="10"/>
    </row>
    <row r="87" spans="1:12" ht="22.95" customHeight="1" x14ac:dyDescent="0.2">
      <c r="A87" s="9" t="s">
        <v>60</v>
      </c>
      <c r="B87" s="39" t="s">
        <v>60</v>
      </c>
      <c r="C87" s="13" t="s">
        <v>60</v>
      </c>
      <c r="D87" s="1"/>
      <c r="E87" s="14" t="str">
        <f t="shared" si="37"/>
        <v/>
      </c>
      <c r="F87" s="13" t="s">
        <v>60</v>
      </c>
      <c r="G87" s="1"/>
      <c r="H87" s="14" t="str">
        <f t="shared" si="38"/>
        <v/>
      </c>
      <c r="I87" s="17" t="s">
        <v>60</v>
      </c>
      <c r="J87" s="2"/>
      <c r="K87" s="14" t="str">
        <f t="shared" si="39"/>
        <v/>
      </c>
      <c r="L87" s="10"/>
    </row>
    <row r="88" spans="1:12" ht="22.95" customHeight="1" x14ac:dyDescent="0.2">
      <c r="A88" s="9" t="s">
        <v>60</v>
      </c>
      <c r="B88" s="39" t="s">
        <v>60</v>
      </c>
      <c r="C88" s="13" t="s">
        <v>60</v>
      </c>
      <c r="D88" s="1"/>
      <c r="E88" s="14" t="str">
        <f t="shared" si="37"/>
        <v/>
      </c>
      <c r="F88" s="13" t="s">
        <v>60</v>
      </c>
      <c r="G88" s="1"/>
      <c r="H88" s="14" t="str">
        <f t="shared" si="38"/>
        <v/>
      </c>
      <c r="I88" s="17" t="s">
        <v>60</v>
      </c>
      <c r="J88" s="2"/>
      <c r="K88" s="14" t="str">
        <f t="shared" si="39"/>
        <v/>
      </c>
      <c r="L88" s="10"/>
    </row>
    <row r="89" spans="1:12" ht="22.95" customHeight="1" x14ac:dyDescent="0.2">
      <c r="A89" s="9" t="s">
        <v>60</v>
      </c>
      <c r="B89" s="39" t="s">
        <v>60</v>
      </c>
      <c r="C89" s="13" t="s">
        <v>60</v>
      </c>
      <c r="D89" s="1"/>
      <c r="E89" s="14" t="str">
        <f t="shared" si="37"/>
        <v/>
      </c>
      <c r="F89" s="13" t="s">
        <v>60</v>
      </c>
      <c r="G89" s="1"/>
      <c r="H89" s="14" t="str">
        <f t="shared" si="38"/>
        <v/>
      </c>
      <c r="I89" s="17" t="s">
        <v>60</v>
      </c>
      <c r="J89" s="2"/>
      <c r="K89" s="14" t="str">
        <f t="shared" si="39"/>
        <v/>
      </c>
      <c r="L89" s="10"/>
    </row>
    <row r="90" spans="1:12" ht="22.95" customHeight="1" x14ac:dyDescent="0.2">
      <c r="A90" s="9" t="s">
        <v>60</v>
      </c>
      <c r="B90" s="39" t="s">
        <v>60</v>
      </c>
      <c r="C90" s="13" t="s">
        <v>60</v>
      </c>
      <c r="D90" s="1"/>
      <c r="E90" s="14" t="str">
        <f t="shared" ref="E90" si="40" xml:space="preserve">    IF( NOT( ISBLANK(D90)), C90-C90*D90/100,"")</f>
        <v/>
      </c>
      <c r="F90" s="13" t="s">
        <v>60</v>
      </c>
      <c r="G90" s="1"/>
      <c r="H90" s="14" t="str">
        <f t="shared" ref="H90" si="41" xml:space="preserve">    IF( NOT( ISBLANK(G90)), F90-F90*G90/100,"")</f>
        <v/>
      </c>
      <c r="I90" s="17" t="s">
        <v>60</v>
      </c>
      <c r="J90" s="2"/>
      <c r="K90" s="14" t="str">
        <f t="shared" ref="K90" si="42" xml:space="preserve">    IF( NOT( ISBLANK(J90)), I90-I90*J90/100,"")</f>
        <v/>
      </c>
      <c r="L90" s="10"/>
    </row>
    <row r="91" spans="1:12" ht="22.95" customHeight="1" x14ac:dyDescent="0.2">
      <c r="A91" s="9" t="s">
        <v>60</v>
      </c>
      <c r="B91" s="39" t="s">
        <v>60</v>
      </c>
      <c r="C91" s="13" t="s">
        <v>60</v>
      </c>
      <c r="D91" s="1"/>
      <c r="E91" s="14" t="str">
        <f t="shared" ref="E91" si="43" xml:space="preserve">    IF( NOT( ISBLANK(D91)), C91-C91*D91/100,"")</f>
        <v/>
      </c>
      <c r="F91" s="13" t="s">
        <v>60</v>
      </c>
      <c r="G91" s="1"/>
      <c r="H91" s="14" t="str">
        <f t="shared" ref="H91" si="44" xml:space="preserve">    IF( NOT( ISBLANK(G91)), F91-F91*G91/100,"")</f>
        <v/>
      </c>
      <c r="I91" s="17" t="s">
        <v>60</v>
      </c>
      <c r="J91" s="2"/>
      <c r="K91" s="14" t="str">
        <f t="shared" ref="K91" si="45" xml:space="preserve">    IF( NOT( ISBLANK(J91)), I91-I91*J91/100,"")</f>
        <v/>
      </c>
      <c r="L91" s="10"/>
    </row>
  </sheetData>
  <mergeCells count="16">
    <mergeCell ref="A73:K73"/>
    <mergeCell ref="A1:K1"/>
    <mergeCell ref="A69:K69"/>
    <mergeCell ref="A36:K36"/>
    <mergeCell ref="A45:K45"/>
    <mergeCell ref="A49:K49"/>
    <mergeCell ref="A56:K56"/>
    <mergeCell ref="A63:K63"/>
    <mergeCell ref="C2:E2"/>
    <mergeCell ref="A5:K5"/>
    <mergeCell ref="A26:K26"/>
    <mergeCell ref="F2:H2"/>
    <mergeCell ref="I2:K2"/>
    <mergeCell ref="A11:K11"/>
    <mergeCell ref="B2:B3"/>
    <mergeCell ref="A2:A3"/>
  </mergeCells>
  <printOptions horizontalCentered="1"/>
  <pageMargins left="0.78740157480314965" right="0.59055118110236227" top="0.78740157480314965" bottom="0.55118110236220474" header="0.31496062992125984" footer="0.31496062992125984"/>
  <pageSetup paperSize="9" scale="72" fitToHeight="0" orientation="landscape" r:id="rId1"/>
  <headerFooter>
    <oddHeader>&amp;L&amp;12(ПРИМЕР ЗАПОЛНЕНИЯ)&amp;R&amp;"Times New Roman,полужирный"&amp;12ПРИЛОЖЕНИЕ А
Таблица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Sheet1!Заголовки_для_печати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Владимирович Смирнов</dc:creator>
  <cp:lastModifiedBy>Сергей Владимирович Смирнов</cp:lastModifiedBy>
  <cp:lastPrinted>2023-11-14T12:03:55Z</cp:lastPrinted>
  <dcterms:created xsi:type="dcterms:W3CDTF">2023-10-05T08:42:08Z</dcterms:created>
  <dcterms:modified xsi:type="dcterms:W3CDTF">2023-11-16T10:28:49Z</dcterms:modified>
</cp:coreProperties>
</file>