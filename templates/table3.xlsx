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ПТК\ОТС\Технологическая служба\Габитов Д.С\Отчеты для ГД\Отчет по производственным мощностям\Гранит\Гранит\Новые расчеты производственных мощностей\Новые расчеты\Реалистические\Для\"/>
    </mc:Choice>
  </mc:AlternateContent>
  <bookViews>
    <workbookView xWindow="28680" yWindow="-120" windowWidth="29040" windowHeight="15840" tabRatio="534"/>
  </bookViews>
  <sheets>
    <sheet name="Вариант" sheetId="3" r:id="rId1"/>
  </sheets>
  <definedNames>
    <definedName name="WorkRange" localSheetId="0">Вариант!$A$11:$W$16</definedName>
    <definedName name="WorkRange">#REF!</definedName>
    <definedName name="_xlnm.Print_Area" localSheetId="0">Вариант!$A$1:$W$25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6" i="3" l="1"/>
  <c r="S16" i="3" s="1"/>
  <c r="V16" i="3" s="1"/>
  <c r="P16" i="3"/>
  <c r="Q16" i="3" s="1"/>
  <c r="U16" i="3" s="1"/>
  <c r="N16" i="3"/>
  <c r="O16" i="3" s="1"/>
  <c r="T16" i="3" s="1"/>
  <c r="I16" i="3"/>
  <c r="M16" i="3" s="1"/>
  <c r="G16" i="3"/>
  <c r="L16" i="3" s="1"/>
  <c r="E16" i="3"/>
  <c r="K16" i="3" s="1"/>
  <c r="R15" i="3"/>
  <c r="S15" i="3" s="1"/>
  <c r="V15" i="3" s="1"/>
  <c r="P15" i="3"/>
  <c r="Q15" i="3" s="1"/>
  <c r="U15" i="3" s="1"/>
  <c r="N15" i="3"/>
  <c r="O15" i="3" s="1"/>
  <c r="T15" i="3" s="1"/>
  <c r="I15" i="3"/>
  <c r="M15" i="3" s="1"/>
  <c r="G15" i="3"/>
  <c r="L15" i="3" s="1"/>
  <c r="E15" i="3"/>
  <c r="K15" i="3" s="1"/>
  <c r="R14" i="3"/>
  <c r="S14" i="3" s="1"/>
  <c r="V14" i="3" s="1"/>
  <c r="P14" i="3"/>
  <c r="Q14" i="3" s="1"/>
  <c r="U14" i="3" s="1"/>
  <c r="N14" i="3"/>
  <c r="O14" i="3" s="1"/>
  <c r="T14" i="3" s="1"/>
  <c r="I14" i="3"/>
  <c r="M14" i="3" s="1"/>
  <c r="G14" i="3"/>
  <c r="L14" i="3" s="1"/>
  <c r="E14" i="3"/>
  <c r="K14" i="3" s="1"/>
  <c r="R13" i="3"/>
  <c r="S13" i="3" s="1"/>
  <c r="V13" i="3" s="1"/>
  <c r="P13" i="3"/>
  <c r="Q13" i="3" s="1"/>
  <c r="U13" i="3" s="1"/>
  <c r="N13" i="3"/>
  <c r="O13" i="3" s="1"/>
  <c r="T13" i="3" s="1"/>
  <c r="I13" i="3"/>
  <c r="M13" i="3" s="1"/>
  <c r="G13" i="3"/>
  <c r="L13" i="3" s="1"/>
  <c r="E13" i="3"/>
  <c r="K13" i="3" s="1"/>
  <c r="R12" i="3"/>
  <c r="S12" i="3" s="1"/>
  <c r="V12" i="3" s="1"/>
  <c r="P12" i="3"/>
  <c r="Q12" i="3" s="1"/>
  <c r="U12" i="3" s="1"/>
  <c r="N12" i="3"/>
  <c r="O12" i="3" s="1"/>
  <c r="T12" i="3" s="1"/>
  <c r="I12" i="3"/>
  <c r="M12" i="3" s="1"/>
  <c r="G12" i="3"/>
  <c r="L12" i="3" s="1"/>
  <c r="E12" i="3"/>
  <c r="K12" i="3" s="1"/>
</calcChain>
</file>

<file path=xl/sharedStrings.xml><?xml version="1.0" encoding="utf-8"?>
<sst xmlns="http://schemas.openxmlformats.org/spreadsheetml/2006/main" count="71" uniqueCount="53">
  <si>
    <t>№ п/п</t>
  </si>
  <si>
    <t>Кол-во</t>
  </si>
  <si>
    <t>1 смена</t>
  </si>
  <si>
    <t>1 ед.</t>
  </si>
  <si>
    <t>Всего</t>
  </si>
  <si>
    <t>Принятое</t>
  </si>
  <si>
    <t>Расчётное</t>
  </si>
  <si>
    <t>Примечание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</si>
  <si>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</si>
  <si>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</si>
  <si>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</si>
  <si>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</si>
  <si>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</si>
  <si>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</si>
  <si>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</si>
  <si>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</si>
  <si>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</si>
  <si>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</si>
  <si>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</si>
  <si>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</si>
  <si>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</si>
  <si>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</si>
  <si>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</si>
  <si>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</si>
  <si>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</si>
  <si>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</si>
  <si>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</si>
  <si>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</si>
  <si>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</si>
  <si>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Вид (модель) оборудования *</t>
  </si>
  <si>
    <t>21</t>
  </si>
  <si>
    <t>23</t>
  </si>
  <si>
    <t>2 смены</t>
  </si>
  <si>
    <t>3 смены</t>
  </si>
  <si>
    <t>Действительный годовой фонд времени, час</t>
  </si>
  <si>
    <t>Коэффициент загрузки, Кз</t>
  </si>
  <si>
    <t>Потребное количество оборудования, ед.</t>
  </si>
  <si>
    <t>Баланс оборудования, ед.</t>
  </si>
  <si>
    <r>
      <t xml:space="preserve">* </t>
    </r>
    <r>
      <rPr>
        <sz val="10"/>
        <color theme="1"/>
        <rFont val="Calibri"/>
        <family val="2"/>
        <charset val="204"/>
      </rPr>
      <t>— степень детализации зависит от задачи (расчёт по моделям, по типоразмерам, по группам и т. д.)</t>
    </r>
  </si>
  <si>
    <t>Трудоёмкость
суммарная, ст-час</t>
  </si>
  <si>
    <r>
      <t xml:space="preserve">Максимальный принятый коэффициент загрузки </t>
    </r>
    <r>
      <rPr>
        <b/>
        <sz val="10"/>
        <color theme="1"/>
        <rFont val="Calibri"/>
        <family val="2"/>
        <charset val="204"/>
        <scheme val="minor"/>
      </rPr>
      <t/>
    </r>
  </si>
  <si>
    <t>Разработал:</t>
  </si>
  <si>
    <t>УТВЕРЖДАЮ</t>
  </si>
  <si>
    <t>Расчёт коэффициента загрузки и потребного количества оборудования на 2026 год</t>
  </si>
  <si>
    <t>Должность</t>
  </si>
  <si>
    <t>ФИО</t>
  </si>
  <si>
    <t>______________________ ФИО</t>
  </si>
  <si>
    <t>"______" _____________________ год</t>
  </si>
  <si>
    <t>Оборудование1</t>
  </si>
  <si>
    <t>Оборудование2</t>
  </si>
  <si>
    <t>Оборудование3</t>
  </si>
  <si>
    <t>Оборудование4</t>
  </si>
  <si>
    <t>Оборудование5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</si>
</sst>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[Red][&gt;0.85]#.##;0.00"/>
    <numFmt numFmtId="166" formatCode="[Color4]#,##0;[Red]\-#,##0"/>
    <numFmt numFmtId="167" formatCode="0&quot;.&quot;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Sylfaen"/>
      <family val="1"/>
      <charset val="204"/>
    </font>
    <font>
      <sz val="11"/>
      <name val="Sylfae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Arial Narrow"/>
      <family val="2"/>
      <charset val="204"/>
    </font>
    <font>
      <sz val="10"/>
      <color theme="1"/>
      <name val="Calibri"/>
      <family val="2"/>
      <charset val="204"/>
    </font>
    <font>
      <b/>
      <sz val="8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6" fontId="1" fillId="2" borderId="13" applyBorder="0">
      <protection hidden="1"/>
    </xf>
    <xf numFmtId="165" fontId="2" fillId="2" borderId="0" applyBorder="0"/>
  </cellStyleXfs>
  <cellXfs count="64">
    <xf numFmtId="0" fontId="0" fillId="0" borderId="0" xfId="0"/>
    <xf numFmtId="0" fontId="3" fillId="0" borderId="16" xfId="0" applyFont="1" applyFill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 wrapText="1"/>
    </xf>
    <xf numFmtId="0" fontId="12" fillId="0" borderId="0" xfId="0" applyFont="1"/>
    <xf numFmtId="0" fontId="12" fillId="0" borderId="0" xfId="0" applyFont="1" applyFill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4" fillId="2" borderId="3" xfId="0" applyNumberFormat="1" applyFont="1" applyFill="1" applyBorder="1" applyAlignment="1" applyProtection="1">
      <alignment horizontal="center" vertical="center"/>
      <protection locked="0" hidden="1"/>
    </xf>
    <xf numFmtId="3" fontId="4" fillId="2" borderId="3" xfId="0" applyNumberFormat="1" applyFont="1" applyFill="1" applyBorder="1" applyAlignment="1" applyProtection="1">
      <alignment horizontal="center" vertical="center"/>
      <protection hidden="1"/>
    </xf>
    <xf numFmtId="3" fontId="4" fillId="0" borderId="2" xfId="0" applyNumberFormat="1" applyFont="1" applyFill="1" applyBorder="1" applyAlignment="1" applyProtection="1">
      <alignment horizontal="center" vertical="center"/>
      <protection locked="0" hidden="1"/>
    </xf>
    <xf numFmtId="0" fontId="4" fillId="0" borderId="10" xfId="0" applyFont="1" applyFill="1" applyBorder="1" applyAlignment="1" applyProtection="1">
      <alignment horizontal="center" vertical="center"/>
      <protection locked="0" hidden="1"/>
    </xf>
    <xf numFmtId="0" fontId="4" fillId="0" borderId="11" xfId="0" applyFont="1" applyFill="1" applyBorder="1" applyAlignment="1" applyProtection="1">
      <alignment horizontal="center" vertical="center"/>
      <protection locked="0" hidden="1"/>
    </xf>
    <xf numFmtId="165" fontId="4" fillId="2" borderId="1" xfId="0" applyNumberFormat="1" applyFont="1" applyFill="1" applyBorder="1" applyAlignment="1" applyProtection="1">
      <alignment horizontal="center" vertical="center"/>
      <protection locked="0" hidden="1"/>
    </xf>
    <xf numFmtId="166" fontId="5" fillId="2" borderId="1" xfId="1" applyFont="1" applyBorder="1" applyAlignment="1" applyProtection="1">
      <alignment horizontal="center" vertical="center"/>
      <protection locked="0" hidden="1"/>
    </xf>
    <xf numFmtId="165" fontId="4" fillId="2" borderId="5" xfId="0" applyNumberFormat="1" applyFont="1" applyFill="1" applyBorder="1" applyAlignment="1" applyProtection="1">
      <alignment horizontal="center" vertical="center"/>
      <protection locked="0" hidden="1"/>
    </xf>
    <xf numFmtId="166" fontId="5" fillId="2" borderId="5" xfId="1" applyFont="1" applyBorder="1" applyAlignment="1" applyProtection="1">
      <alignment horizontal="center" vertical="center"/>
      <protection locked="0" hidden="1"/>
    </xf>
    <xf numFmtId="0" fontId="4" fillId="0" borderId="23" xfId="0" applyFont="1" applyFill="1" applyBorder="1" applyAlignment="1" applyProtection="1">
      <alignment horizontal="center" vertical="center"/>
      <protection locked="0" hidden="1"/>
    </xf>
    <xf numFmtId="0" fontId="4" fillId="0" borderId="24" xfId="0" applyFont="1" applyFill="1" applyBorder="1" applyAlignment="1" applyProtection="1">
      <alignment horizontal="center" vertical="center"/>
      <protection locked="0" hidden="1"/>
    </xf>
    <xf numFmtId="166" fontId="5" fillId="2" borderId="4" xfId="1" applyFont="1" applyBorder="1" applyAlignment="1" applyProtection="1">
      <alignment horizontal="center" vertical="center"/>
      <protection locked="0" hidden="1"/>
    </xf>
    <xf numFmtId="166" fontId="5" fillId="2" borderId="6" xfId="1" applyFont="1" applyBorder="1" applyAlignment="1" applyProtection="1">
      <alignment horizontal="center" vertical="center"/>
      <protection locked="0" hidden="1"/>
    </xf>
    <xf numFmtId="166" fontId="5" fillId="2" borderId="2" xfId="1" applyFont="1" applyBorder="1" applyAlignment="1" applyProtection="1">
      <alignment horizontal="center" vertical="center"/>
      <protection locked="0" hidden="1"/>
    </xf>
    <xf numFmtId="166" fontId="5" fillId="2" borderId="3" xfId="1" applyFont="1" applyBorder="1" applyAlignment="1" applyProtection="1">
      <alignment horizontal="center" vertical="center"/>
      <protection locked="0" hidden="1"/>
    </xf>
    <xf numFmtId="164" fontId="4" fillId="2" borderId="4" xfId="0" applyNumberFormat="1" applyFont="1" applyFill="1" applyBorder="1" applyAlignment="1" applyProtection="1">
      <alignment horizontal="center" vertical="center"/>
      <protection locked="0" hidden="1"/>
    </xf>
    <xf numFmtId="0" fontId="3" fillId="2" borderId="6" xfId="0" applyFont="1" applyFill="1" applyBorder="1" applyAlignment="1" applyProtection="1">
      <alignment horizontal="center" vertical="center"/>
      <protection locked="0" hidden="1"/>
    </xf>
    <xf numFmtId="164" fontId="4" fillId="2" borderId="2" xfId="0" applyNumberFormat="1" applyFont="1" applyFill="1" applyBorder="1" applyAlignment="1" applyProtection="1">
      <alignment horizontal="center" vertical="center"/>
      <protection locked="0" hidden="1"/>
    </xf>
    <xf numFmtId="0" fontId="3" fillId="2" borderId="3" xfId="0" applyFont="1" applyFill="1" applyBorder="1" applyAlignment="1" applyProtection="1">
      <alignment horizontal="center" vertical="center"/>
      <protection locked="0" hidden="1"/>
    </xf>
    <xf numFmtId="165" fontId="4" fillId="2" borderId="4" xfId="0" applyNumberFormat="1" applyFont="1" applyFill="1" applyBorder="1" applyAlignment="1" applyProtection="1">
      <alignment horizontal="center" vertical="center"/>
      <protection locked="0" hidden="1"/>
    </xf>
    <xf numFmtId="165" fontId="4" fillId="2" borderId="6" xfId="0" applyNumberFormat="1" applyFont="1" applyFill="1" applyBorder="1" applyAlignment="1" applyProtection="1">
      <alignment horizontal="center" vertical="center"/>
      <protection locked="0" hidden="1"/>
    </xf>
    <xf numFmtId="165" fontId="4" fillId="2" borderId="2" xfId="0" applyNumberFormat="1" applyFont="1" applyFill="1" applyBorder="1" applyAlignment="1" applyProtection="1">
      <alignment horizontal="center" vertical="center"/>
      <protection locked="0" hidden="1"/>
    </xf>
    <xf numFmtId="165" fontId="4" fillId="2" borderId="3" xfId="0" applyNumberFormat="1" applyFont="1" applyFill="1" applyBorder="1" applyAlignment="1" applyProtection="1">
      <alignment horizontal="center" vertical="center"/>
      <protection locked="0" hidden="1"/>
    </xf>
    <xf numFmtId="3" fontId="4" fillId="0" borderId="10" xfId="0" applyNumberFormat="1" applyFont="1" applyFill="1" applyBorder="1" applyAlignment="1" applyProtection="1">
      <alignment horizontal="center" vertical="center"/>
      <protection locked="0" hidden="1"/>
    </xf>
    <xf numFmtId="3" fontId="4" fillId="0" borderId="11" xfId="0" applyNumberFormat="1" applyFont="1" applyFill="1" applyBorder="1" applyAlignment="1" applyProtection="1">
      <alignment horizontal="center" vertical="center"/>
      <protection locked="0" hidden="1"/>
    </xf>
    <xf numFmtId="3" fontId="4" fillId="0" borderId="4" xfId="0" applyNumberFormat="1" applyFont="1" applyFill="1" applyBorder="1" applyAlignment="1" applyProtection="1">
      <alignment horizontal="center" vertical="center"/>
      <protection locked="0" hidden="1"/>
    </xf>
    <xf numFmtId="3" fontId="4" fillId="2" borderId="6" xfId="0" applyNumberFormat="1" applyFont="1" applyFill="1" applyBorder="1" applyAlignment="1" applyProtection="1">
      <alignment horizontal="center" vertical="center"/>
      <protection locked="0" hidden="1"/>
    </xf>
    <xf numFmtId="167" fontId="4" fillId="0" borderId="20" xfId="0" applyNumberFormat="1" applyFont="1" applyFill="1" applyBorder="1" applyAlignment="1" applyProtection="1">
      <alignment horizontal="center" vertical="center"/>
      <protection locked="0" hidden="1"/>
    </xf>
    <xf numFmtId="167" fontId="4" fillId="0" borderId="21" xfId="0" applyNumberFormat="1" applyFont="1" applyFill="1" applyBorder="1" applyAlignment="1" applyProtection="1">
      <alignment horizontal="center" vertical="center"/>
      <protection locked="0" hidden="1"/>
    </xf>
    <xf numFmtId="0" fontId="4" fillId="0" borderId="10" xfId="0" applyFont="1" applyFill="1" applyBorder="1" applyAlignment="1" applyProtection="1">
      <alignment vertical="center"/>
      <protection locked="0"/>
    </xf>
    <xf numFmtId="0" fontId="4" fillId="0" borderId="11" xfId="0" applyFont="1" applyFill="1" applyBorder="1" applyAlignment="1" applyProtection="1">
      <alignment vertical="center"/>
      <protection locked="0"/>
    </xf>
    <xf numFmtId="0" fontId="3" fillId="0" borderId="9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</cellXfs>
  <cellStyles count="3">
    <cellStyle name="БалансОборудования" xfId="1"/>
    <cellStyle name="КоэффициентЗагрузки" xfId="2"/>
    <cellStyle name="Обычный" xfId="0" builtinId="0"/>
  </cellStyles>
  <dxfs count="3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3">
      <tableStyleElement type="wholeTable" dxfId="2"/>
      <tableStyleElement type="headerRow" dxfId="1"/>
      <tableStyleElement type="totalRow" dxfId="0"/>
    </tableStyle>
  </tableStyles>
  <colors>
    <mruColors>
      <color rgb="FF00CC00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442573</xdr:colOff>
      <xdr:row>18</xdr:row>
      <xdr:rowOff>7501</xdr:rowOff>
    </xdr:from>
    <xdr:ext cx="743473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3719173" y="8722876"/>
              <a:ext cx="743473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𝐾</m:t>
                      </m:r>
                    </m:e>
                    <m:sub>
                      <m:sSub>
                        <m:sSubPr>
                          <m:ctrlPr>
                            <a:rPr lang="ru-RU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ru-RU" sz="1100" b="0" i="1">
                              <a:latin typeface="Cambria Math" panose="02040503050406030204" pitchFamily="18" charset="0"/>
                            </a:rPr>
                            <m:t>З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𝑚𝑎𝑥</m:t>
                          </m:r>
                        </m:sub>
                      </m:sSub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0,95</a:t>
              </a:r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3719173" y="8722876"/>
              <a:ext cx="743473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𝐾_(</a:t>
              </a:r>
              <a:r>
                <a:rPr lang="ru-RU" sz="1100" b="0" i="0">
                  <a:latin typeface="Cambria Math" panose="02040503050406030204" pitchFamily="18" charset="0"/>
                </a:rPr>
                <a:t>З_</a:t>
              </a:r>
              <a:r>
                <a:rPr lang="en-US" sz="1100" b="0" i="0">
                  <a:latin typeface="Cambria Math" panose="02040503050406030204" pitchFamily="18" charset="0"/>
                </a:rPr>
                <a:t>𝑚𝑎𝑥 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/>
                <a:t>0,95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4"/>
  <sheetViews>
    <sheetView tabSelected="1" view="pageBreakPreview" zoomScale="85" zoomScaleNormal="85" zoomScaleSheetLayoutView="85" zoomScalePageLayoutView="85" workbookViewId="0">
      <selection activeCell="C35" sqref="C35"/>
    </sheetView>
  </sheetViews>
  <sheetFormatPr defaultRowHeight="15" x14ac:dyDescent="0.25"/>
  <cols>
    <col min="1" max="1" width="4.5703125" customWidth="1"/>
    <col min="2" max="2" width="44.5703125" customWidth="1"/>
    <col min="3" max="3" width="7.42578125" style="13" bestFit="1" customWidth="1"/>
    <col min="4" max="9" width="7.5703125" customWidth="1"/>
    <col min="10" max="10" width="14.7109375" customWidth="1"/>
    <col min="11" max="11" width="7" customWidth="1"/>
    <col min="12" max="13" width="7.85546875" customWidth="1"/>
    <col min="14" max="19" width="10.140625" customWidth="1"/>
    <col min="20" max="22" width="8.28515625" customWidth="1"/>
    <col min="23" max="23" width="13.5703125" customWidth="1"/>
  </cols>
  <sheetData>
    <row r="1" spans="1:23" ht="21.75" customHeight="1" x14ac:dyDescent="0.25">
      <c r="B1" s="10" t="s">
        <v>42</v>
      </c>
      <c r="C1" s="12"/>
    </row>
    <row r="2" spans="1:23" ht="24" customHeight="1" x14ac:dyDescent="0.25">
      <c r="B2" s="10" t="s">
        <v>44</v>
      </c>
      <c r="C2" s="12"/>
    </row>
    <row r="3" spans="1:23" ht="23.25" customHeight="1" x14ac:dyDescent="0.25">
      <c r="B3" s="10"/>
      <c r="C3" s="12"/>
    </row>
    <row r="4" spans="1:23" ht="22.5" customHeight="1" x14ac:dyDescent="0.25">
      <c r="B4" s="10" t="s">
        <v>46</v>
      </c>
      <c r="C4" s="12"/>
    </row>
    <row r="5" spans="1:23" ht="23.25" customHeight="1" x14ac:dyDescent="0.25">
      <c r="B5" s="10" t="s">
        <v>47</v>
      </c>
      <c r="C5" s="12"/>
    </row>
    <row r="6" spans="1:23" ht="24.4" customHeight="1" x14ac:dyDescent="0.25"/>
    <row r="7" spans="1:23" ht="24.4" customHeight="1" thickBot="1" x14ac:dyDescent="0.3">
      <c r="A7" s="54" t="s">
        <v>43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</row>
    <row r="8" spans="1:23" ht="31.5" customHeight="1" x14ac:dyDescent="0.25">
      <c r="A8" s="55" t="s">
        <v>0</v>
      </c>
      <c r="B8" s="58" t="s">
        <v>29</v>
      </c>
      <c r="C8" s="55" t="s">
        <v>1</v>
      </c>
      <c r="D8" s="51" t="s">
        <v>34</v>
      </c>
      <c r="E8" s="52"/>
      <c r="F8" s="52"/>
      <c r="G8" s="52"/>
      <c r="H8" s="52"/>
      <c r="I8" s="53"/>
      <c r="J8" s="58" t="s">
        <v>39</v>
      </c>
      <c r="K8" s="51" t="s">
        <v>35</v>
      </c>
      <c r="L8" s="52"/>
      <c r="M8" s="53"/>
      <c r="N8" s="51" t="s">
        <v>36</v>
      </c>
      <c r="O8" s="52"/>
      <c r="P8" s="52"/>
      <c r="Q8" s="52"/>
      <c r="R8" s="52"/>
      <c r="S8" s="53"/>
      <c r="T8" s="51" t="s">
        <v>37</v>
      </c>
      <c r="U8" s="52"/>
      <c r="V8" s="52"/>
      <c r="W8" s="55" t="s">
        <v>7</v>
      </c>
    </row>
    <row r="9" spans="1:23" ht="24.4" customHeight="1" x14ac:dyDescent="0.25">
      <c r="A9" s="56"/>
      <c r="B9" s="59"/>
      <c r="C9" s="56"/>
      <c r="D9" s="61" t="s">
        <v>2</v>
      </c>
      <c r="E9" s="49"/>
      <c r="F9" s="61" t="s">
        <v>32</v>
      </c>
      <c r="G9" s="49"/>
      <c r="H9" s="63" t="s">
        <v>33</v>
      </c>
      <c r="I9" s="49"/>
      <c r="J9" s="59"/>
      <c r="K9" s="61" t="s">
        <v>2</v>
      </c>
      <c r="L9" s="47" t="s">
        <v>32</v>
      </c>
      <c r="M9" s="49" t="s">
        <v>33</v>
      </c>
      <c r="N9" s="61" t="s">
        <v>2</v>
      </c>
      <c r="O9" s="49"/>
      <c r="P9" s="61" t="s">
        <v>32</v>
      </c>
      <c r="Q9" s="49"/>
      <c r="R9" s="63" t="s">
        <v>33</v>
      </c>
      <c r="S9" s="49"/>
      <c r="T9" s="47" t="s">
        <v>2</v>
      </c>
      <c r="U9" s="47" t="s">
        <v>32</v>
      </c>
      <c r="V9" s="49" t="s">
        <v>33</v>
      </c>
      <c r="W9" s="56"/>
    </row>
    <row r="10" spans="1:23" ht="24.4" customHeight="1" thickBot="1" x14ac:dyDescent="0.3">
      <c r="A10" s="57"/>
      <c r="B10" s="60"/>
      <c r="C10" s="57"/>
      <c r="D10" s="46" t="s">
        <v>3</v>
      </c>
      <c r="E10" s="45" t="s">
        <v>4</v>
      </c>
      <c r="F10" s="46" t="s">
        <v>3</v>
      </c>
      <c r="G10" s="45" t="s">
        <v>4</v>
      </c>
      <c r="H10" s="1" t="s">
        <v>3</v>
      </c>
      <c r="I10" s="45" t="s">
        <v>4</v>
      </c>
      <c r="J10" s="60"/>
      <c r="K10" s="62"/>
      <c r="L10" s="48"/>
      <c r="M10" s="50"/>
      <c r="N10" s="46" t="s">
        <v>6</v>
      </c>
      <c r="O10" s="45" t="s">
        <v>5</v>
      </c>
      <c r="P10" s="46" t="s">
        <v>6</v>
      </c>
      <c r="Q10" s="45" t="s">
        <v>5</v>
      </c>
      <c r="R10" s="1" t="s">
        <v>6</v>
      </c>
      <c r="S10" s="45" t="s">
        <v>5</v>
      </c>
      <c r="T10" s="48"/>
      <c r="U10" s="48"/>
      <c r="V10" s="50"/>
      <c r="W10" s="57"/>
    </row>
    <row r="11" spans="1:23" ht="20.25" customHeight="1" thickBot="1" x14ac:dyDescent="0.3">
      <c r="A11" s="5" t="s">
        <v>8</v>
      </c>
      <c r="B11" s="5" t="s">
        <v>9</v>
      </c>
      <c r="C11" s="7" t="s">
        <v>10</v>
      </c>
      <c r="D11" s="5" t="s">
        <v>11</v>
      </c>
      <c r="E11" s="6" t="s">
        <v>12</v>
      </c>
      <c r="F11" s="5" t="s">
        <v>13</v>
      </c>
      <c r="G11" s="6" t="s">
        <v>14</v>
      </c>
      <c r="H11" s="5" t="s">
        <v>15</v>
      </c>
      <c r="I11" s="6" t="s">
        <v>16</v>
      </c>
      <c r="J11" s="5" t="s">
        <v>17</v>
      </c>
      <c r="K11" s="5" t="s">
        <v>18</v>
      </c>
      <c r="L11" s="6" t="s">
        <v>19</v>
      </c>
      <c r="M11" s="8" t="s">
        <v>20</v>
      </c>
      <c r="N11" s="5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5" t="s">
        <v>27</v>
      </c>
      <c r="U11" s="6" t="s">
        <v>30</v>
      </c>
      <c r="V11" s="6" t="s">
        <v>28</v>
      </c>
      <c r="W11" s="7" t="s">
        <v>31</v>
      </c>
    </row>
    <row r="12" spans="1:23" x14ac:dyDescent="0.25">
      <c r="A12" s="41">
        <v>1</v>
      </c>
      <c r="B12" s="43" t="s">
        <v>48</v>
      </c>
      <c r="C12" s="17">
        <v>10</v>
      </c>
      <c r="D12" s="39">
        <v>1952</v>
      </c>
      <c r="E12" s="40">
        <f xml:space="preserve">   IFERROR(               D12*$C12, "")</f>
        <v>19520</v>
      </c>
      <c r="F12" s="39">
        <v>3865</v>
      </c>
      <c r="G12" s="40">
        <f xml:space="preserve">  IFERROR(    F12*$C12,"")</f>
        <v>38650</v>
      </c>
      <c r="H12" s="39">
        <v>5556</v>
      </c>
      <c r="I12" s="40">
        <f xml:space="preserve">     IFERROR(    H12*$C12,    "")</f>
        <v>55560</v>
      </c>
      <c r="J12" s="37">
        <v>52562.5</v>
      </c>
      <c r="K12" s="33">
        <f xml:space="preserve">   IFERROR(  $J12/$E12, "")</f>
        <v>2.692751024590164</v>
      </c>
      <c r="L12" s="21">
        <f xml:space="preserve">   IFERROR(  $J12/$G12, "")</f>
        <v>1.3599611901681758</v>
      </c>
      <c r="M12" s="34">
        <f xml:space="preserve">   IFERROR( $J12/$I12, "")</f>
        <v>0.94604931605471565</v>
      </c>
      <c r="N12" s="29">
        <f xml:space="preserve"> IFERROR(    ( $J12/0.95/$D12), "")</f>
        <v>28.344747627264884</v>
      </c>
      <c r="O12" s="30">
        <f xml:space="preserve">  IFERROR(    IF(N12-INT(N12)&lt;=0.2,INT(N12),INT(N12)+1), ""         )</f>
        <v>29</v>
      </c>
      <c r="P12" s="29">
        <f t="shared" ref="P12:P16" si="0" xml:space="preserve"> IFERROR( $J12/0.95/$F12, "")</f>
        <v>14.315380949138694</v>
      </c>
      <c r="Q12" s="30">
        <f xml:space="preserve">  IFERROR(   IF(P12-INT(P12)&lt;=0.2,INT(P12),INT(P12)+1), ""         )</f>
        <v>15</v>
      </c>
      <c r="R12" s="29">
        <f t="shared" ref="R12:R16" si="1" xml:space="preserve"> IFERROR( $J12/0.95/$H12, "" )</f>
        <v>9.9584138532075333</v>
      </c>
      <c r="S12" s="30">
        <f xml:space="preserve">  IFERROR(  IF(R12-INT(R12)&lt;=0.2,INT(R12),INT(R12)+1), ""      )</f>
        <v>10</v>
      </c>
      <c r="T12" s="25">
        <f xml:space="preserve"> IFERROR(    $C12-$O12,  ""      )</f>
        <v>-19</v>
      </c>
      <c r="U12" s="22">
        <f xml:space="preserve"> IFERROR(      $C12-$Q12,
  "")</f>
        <v>-5</v>
      </c>
      <c r="V12" s="26">
        <f xml:space="preserve"> IFERROR(        $C12-$S12,
  ""     )</f>
        <v>0</v>
      </c>
      <c r="W12" s="23"/>
    </row>
    <row r="13" spans="1:23" x14ac:dyDescent="0.25">
      <c r="A13" s="42">
        <v>2</v>
      </c>
      <c r="B13" s="44" t="s">
        <v>49</v>
      </c>
      <c r="C13" s="18">
        <v>5</v>
      </c>
      <c r="D13" s="16">
        <v>1893</v>
      </c>
      <c r="E13" s="14">
        <f t="shared" ref="E13:E16" si="2" xml:space="preserve">   IFERROR(               D13*$C13, "")</f>
        <v>9465</v>
      </c>
      <c r="F13" s="16">
        <v>3707</v>
      </c>
      <c r="G13" s="14">
        <f t="shared" ref="G13:G16" si="3" xml:space="preserve">  IFERROR(    F13*$C13,"")</f>
        <v>18535</v>
      </c>
      <c r="H13" s="16">
        <v>5102</v>
      </c>
      <c r="I13" s="14">
        <f t="shared" ref="I13:I16" si="4" xml:space="preserve">     IFERROR(    H13*$C13,    "")</f>
        <v>25510</v>
      </c>
      <c r="J13" s="38">
        <v>18299</v>
      </c>
      <c r="K13" s="35">
        <f t="shared" ref="K13:K16" si="5" xml:space="preserve">   IFERROR(  $J13/$E13, "")</f>
        <v>1.9333333333333333</v>
      </c>
      <c r="L13" s="19">
        <f t="shared" ref="L13:L16" si="6" xml:space="preserve">   IFERROR(  $J13/$G13, "")</f>
        <v>0.98726733207445372</v>
      </c>
      <c r="M13" s="36">
        <f t="shared" ref="M13:M16" si="7" xml:space="preserve">   IFERROR( $J13/$I13, "")</f>
        <v>0.71732653861230888</v>
      </c>
      <c r="N13" s="31">
        <f t="shared" ref="N13:N16" si="8" xml:space="preserve"> IFERROR(    ( $J13/0.95/$D13), "")</f>
        <v>10.17543859649123</v>
      </c>
      <c r="O13" s="32">
        <f t="shared" ref="O13:O16" si="9" xml:space="preserve">  IFERROR(    IF(N13-INT(N13)&lt;=0.2,INT(N13),INT(N13)+1), ""         )</f>
        <v>10</v>
      </c>
      <c r="P13" s="31">
        <f t="shared" si="0"/>
        <v>5.1961438530234414</v>
      </c>
      <c r="Q13" s="32">
        <f t="shared" ref="Q13:Q16" si="10" xml:space="preserve">  IFERROR(   IF(P13-INT(P13)&lt;=0.2,INT(P13),INT(P13)+1), ""         )</f>
        <v>5</v>
      </c>
      <c r="R13" s="31">
        <f t="shared" si="1"/>
        <v>3.7754028348016262</v>
      </c>
      <c r="S13" s="32">
        <f t="shared" ref="S13:S16" si="11" xml:space="preserve">  IFERROR(  IF(R13-INT(R13)&lt;=0.2,INT(R13),INT(R13)+1), ""      )</f>
        <v>4</v>
      </c>
      <c r="T13" s="27">
        <f t="shared" ref="T13:T16" si="12" xml:space="preserve"> IFERROR(    $C13-$O13,  ""      )</f>
        <v>-5</v>
      </c>
      <c r="U13" s="20">
        <f t="shared" ref="U13:U16" si="13" xml:space="preserve"> IFERROR(      $C13-$Q13,
  "")</f>
        <v>0</v>
      </c>
      <c r="V13" s="28">
        <f t="shared" ref="V13:V16" si="14" xml:space="preserve"> IFERROR(        $C13-$S13,
  ""     )</f>
        <v>1</v>
      </c>
      <c r="W13" s="24"/>
    </row>
    <row r="14" spans="1:23" x14ac:dyDescent="0.25">
      <c r="A14" s="42">
        <v>3</v>
      </c>
      <c r="B14" s="44" t="s">
        <v>50</v>
      </c>
      <c r="C14" s="18">
        <v>6</v>
      </c>
      <c r="D14" s="16">
        <v>1952</v>
      </c>
      <c r="E14" s="14">
        <f t="shared" si="2"/>
        <v>11712</v>
      </c>
      <c r="F14" s="16">
        <v>3865</v>
      </c>
      <c r="G14" s="14">
        <f t="shared" si="3"/>
        <v>23190</v>
      </c>
      <c r="H14" s="16">
        <v>5556</v>
      </c>
      <c r="I14" s="14">
        <f t="shared" si="4"/>
        <v>33336</v>
      </c>
      <c r="J14" s="38">
        <v>50097.5</v>
      </c>
      <c r="K14" s="35">
        <f t="shared" si="5"/>
        <v>4.2774504781420761</v>
      </c>
      <c r="L14" s="19">
        <f t="shared" si="6"/>
        <v>2.1603061664510563</v>
      </c>
      <c r="M14" s="36">
        <f t="shared" si="7"/>
        <v>1.5028047756179506</v>
      </c>
      <c r="N14" s="31">
        <f t="shared" si="8"/>
        <v>27.015476704055221</v>
      </c>
      <c r="O14" s="32">
        <f t="shared" si="9"/>
        <v>27</v>
      </c>
      <c r="P14" s="31">
        <f t="shared" si="0"/>
        <v>13.644038946006674</v>
      </c>
      <c r="Q14" s="32">
        <f t="shared" si="10"/>
        <v>14</v>
      </c>
      <c r="R14" s="31">
        <f t="shared" si="1"/>
        <v>9.4913985828502145</v>
      </c>
      <c r="S14" s="32">
        <f t="shared" si="11"/>
        <v>10</v>
      </c>
      <c r="T14" s="27">
        <f t="shared" si="12"/>
        <v>-21</v>
      </c>
      <c r="U14" s="20">
        <f t="shared" si="13"/>
        <v>-8</v>
      </c>
      <c r="V14" s="28">
        <f t="shared" si="14"/>
        <v>-4</v>
      </c>
      <c r="W14" s="24"/>
    </row>
    <row r="15" spans="1:23" x14ac:dyDescent="0.25">
      <c r="A15" s="42">
        <v>4</v>
      </c>
      <c r="B15" s="44" t="s">
        <v>51</v>
      </c>
      <c r="C15" s="18">
        <v>7</v>
      </c>
      <c r="D15" s="16">
        <v>1952</v>
      </c>
      <c r="E15" s="14">
        <f t="shared" si="2"/>
        <v>13664</v>
      </c>
      <c r="F15" s="16">
        <v>3865</v>
      </c>
      <c r="G15" s="14">
        <f t="shared" si="3"/>
        <v>27055</v>
      </c>
      <c r="H15" s="16">
        <v>5556</v>
      </c>
      <c r="I15" s="14">
        <f t="shared" si="4"/>
        <v>38892</v>
      </c>
      <c r="J15" s="38">
        <v>45624.25</v>
      </c>
      <c r="K15" s="35">
        <f t="shared" si="5"/>
        <v>3.3390112704918034</v>
      </c>
      <c r="L15" s="19">
        <f t="shared" si="6"/>
        <v>1.6863518758085381</v>
      </c>
      <c r="M15" s="36">
        <f t="shared" si="7"/>
        <v>1.1731011519078474</v>
      </c>
      <c r="N15" s="31">
        <f t="shared" si="8"/>
        <v>24.60324094046592</v>
      </c>
      <c r="O15" s="32">
        <f t="shared" si="9"/>
        <v>25</v>
      </c>
      <c r="P15" s="31">
        <f t="shared" si="0"/>
        <v>12.425750663852387</v>
      </c>
      <c r="Q15" s="32">
        <f t="shared" si="10"/>
        <v>13</v>
      </c>
      <c r="R15" s="31">
        <f t="shared" si="1"/>
        <v>8.6439032245841378</v>
      </c>
      <c r="S15" s="32">
        <f t="shared" si="11"/>
        <v>9</v>
      </c>
      <c r="T15" s="27">
        <f t="shared" si="12"/>
        <v>-18</v>
      </c>
      <c r="U15" s="20">
        <f t="shared" si="13"/>
        <v>-6</v>
      </c>
      <c r="V15" s="28">
        <f t="shared" si="14"/>
        <v>-2</v>
      </c>
      <c r="W15" s="24"/>
    </row>
    <row r="16" spans="1:23" x14ac:dyDescent="0.25">
      <c r="A16" s="42">
        <v>5</v>
      </c>
      <c r="B16" s="44" t="s">
        <v>52</v>
      </c>
      <c r="C16" s="18">
        <v>8</v>
      </c>
      <c r="D16" s="16">
        <v>1952</v>
      </c>
      <c r="E16" s="15">
        <f t="shared" si="2"/>
        <v>15616</v>
      </c>
      <c r="F16" s="16">
        <v>3865</v>
      </c>
      <c r="G16" s="14">
        <f t="shared" si="3"/>
        <v>30920</v>
      </c>
      <c r="H16" s="16">
        <v>5556</v>
      </c>
      <c r="I16" s="14">
        <f t="shared" si="4"/>
        <v>44448</v>
      </c>
      <c r="J16" s="38">
        <v>52562.5</v>
      </c>
      <c r="K16" s="35">
        <f t="shared" si="5"/>
        <v>3.365938780737705</v>
      </c>
      <c r="L16" s="19">
        <f t="shared" si="6"/>
        <v>1.69995148771022</v>
      </c>
      <c r="M16" s="36">
        <f t="shared" si="7"/>
        <v>1.1825616450683945</v>
      </c>
      <c r="N16" s="31">
        <f t="shared" si="8"/>
        <v>28.344747627264884</v>
      </c>
      <c r="O16" s="32">
        <f t="shared" si="9"/>
        <v>29</v>
      </c>
      <c r="P16" s="31">
        <f t="shared" si="0"/>
        <v>14.315380949138694</v>
      </c>
      <c r="Q16" s="32">
        <f t="shared" si="10"/>
        <v>15</v>
      </c>
      <c r="R16" s="31">
        <f t="shared" si="1"/>
        <v>9.9584138532075333</v>
      </c>
      <c r="S16" s="32">
        <f t="shared" si="11"/>
        <v>10</v>
      </c>
      <c r="T16" s="27">
        <f t="shared" si="12"/>
        <v>-21</v>
      </c>
      <c r="U16" s="20">
        <f t="shared" si="13"/>
        <v>-7</v>
      </c>
      <c r="V16" s="28">
        <f t="shared" si="14"/>
        <v>-2</v>
      </c>
      <c r="W16" s="24"/>
    </row>
    <row r="18" spans="2:6" ht="21" customHeight="1" x14ac:dyDescent="0.25"/>
    <row r="19" spans="2:6" ht="22.5" customHeight="1" x14ac:dyDescent="0.25">
      <c r="B19" s="2" t="s">
        <v>40</v>
      </c>
    </row>
    <row r="20" spans="2:6" x14ac:dyDescent="0.25">
      <c r="B20" s="3"/>
    </row>
    <row r="21" spans="2:6" x14ac:dyDescent="0.25">
      <c r="B21" s="4" t="s">
        <v>38</v>
      </c>
    </row>
    <row r="23" spans="2:6" ht="15.75" x14ac:dyDescent="0.25">
      <c r="B23" s="9" t="s">
        <v>41</v>
      </c>
      <c r="C23" s="12"/>
      <c r="D23" s="10"/>
      <c r="E23" s="10"/>
      <c r="F23" s="10"/>
    </row>
    <row r="24" spans="2:6" ht="15.75" x14ac:dyDescent="0.25">
      <c r="B24" s="11" t="s">
        <v>44</v>
      </c>
      <c r="C24" s="12"/>
      <c r="D24" s="10"/>
      <c r="E24" s="10"/>
      <c r="F24" s="10" t="s">
        <v>45</v>
      </c>
    </row>
  </sheetData>
  <sheetProtection insertRows="0" deleteRows="0" autoFilter="0"/>
  <mergeCells count="22">
    <mergeCell ref="U9:U10"/>
    <mergeCell ref="M9:M10"/>
    <mergeCell ref="N9:O9"/>
    <mergeCell ref="P9:Q9"/>
    <mergeCell ref="R9:S9"/>
    <mergeCell ref="T9:T10"/>
    <mergeCell ref="A7:W7"/>
    <mergeCell ref="A8:A10"/>
    <mergeCell ref="B8:B10"/>
    <mergeCell ref="C8:C10"/>
    <mergeCell ref="D8:I8"/>
    <mergeCell ref="J8:J10"/>
    <mergeCell ref="K8:M8"/>
    <mergeCell ref="N8:S8"/>
    <mergeCell ref="T8:V8"/>
    <mergeCell ref="W8:W10"/>
    <mergeCell ref="V9:V10"/>
    <mergeCell ref="D9:E9"/>
    <mergeCell ref="F9:G9"/>
    <mergeCell ref="H9:I9"/>
    <mergeCell ref="K9:K10"/>
    <mergeCell ref="L9:L10"/>
  </mergeCells>
  <dataValidations count="2">
    <dataValidation type="whole" allowBlank="1" showInputMessage="1" showErrorMessage="1" sqref="A12:A16">
      <formula1>1</formula1>
      <formula2>1000000000</formula2>
    </dataValidation>
    <dataValidation type="custom" allowBlank="1" showErrorMessage="1" errorTitle="Ошибка ввода данных" error="Допускается ввод только числовых значений!" sqref="C12:D16 J12:J16 F12:F16 H12:H16">
      <formula1>ISNUMBER(C12)</formula1>
    </dataValidation>
  </dataValidations>
  <printOptions horizontalCentered="1"/>
  <pageMargins left="0.78740157480314965" right="0.59055118110236227" top="0.59055118110236227" bottom="0.59055118110236227" header="0.31496062992125984" footer="0.31496062992125984"/>
  <pageSetup paperSize="9" scale="55" fitToHeight="0" orientation="landscape" r:id="rId1"/>
  <headerFooter>
    <oddHeader>&amp;R&amp;"Times New Roman,полужирный"&amp;12ПРИЛОЖЕНИЕ В
Таблица 3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Вариант</vt:lpstr>
      <vt:lpstr>Вариант!WorkRange</vt:lpstr>
      <vt:lpstr>Вариант!Область_печати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Владимирович Смирнов</dc:creator>
  <cp:lastModifiedBy>Габитов Дмитрий Сергеевич</cp:lastModifiedBy>
  <cp:lastPrinted>2025-10-17T10:30:21Z</cp:lastPrinted>
  <dcterms:created xsi:type="dcterms:W3CDTF">2023-10-09T06:31:28Z</dcterms:created>
  <dcterms:modified xsi:type="dcterms:W3CDTF">2026-10-26T11:18:57Z</dcterms:modified>
</cp:coreProperties>
</file>