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534" firstSheet="0" activeTab="0" autoFilterDateGrouping="1"/>
  </bookViews>
  <sheets>
    <sheet name="Вариант" sheetId="1" state="visible" r:id="rId1"/>
    <sheet name="Паспорт расчёта" sheetId="2" state="visible" r:id="rId2"/>
  </sheets>
  <definedNames>
    <definedName name="WorkRange">#REF!</definedName>
    <definedName name="WorkRange" localSheetId="0">Вариант!$A$11:$W$16</definedName>
    <definedName name="_xlnm.Print_Titles" localSheetId="0">'Вариант'!$1:$11</definedName>
    <definedName name="_xlnm.Print_Area" localSheetId="0">'Вариант'!$A$1:$W$22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[Red][&gt;0.85]#.##;0.00"/>
    <numFmt numFmtId="165" formatCode="[Color4]#,##0;[Red]\-#,##0"/>
    <numFmt numFmtId="166" formatCode="#,##0.0"/>
    <numFmt numFmtId="167" formatCode="0&quot;.&quot;"/>
  </numFmts>
  <fonts count="13">
    <font>
      <name val="Calibri"/>
      <charset val="204"/>
      <family val="2"/>
      <color theme="1"/>
      <sz val="11"/>
      <scheme val="minor"/>
    </font>
    <font>
      <name val="Sylfaen"/>
      <charset val="204"/>
      <family val="1"/>
      <color rgb="FFFF0000"/>
      <sz val="11"/>
    </font>
    <font>
      <name val="Sylfaen"/>
      <charset val="204"/>
      <family val="1"/>
      <sz val="11"/>
    </font>
    <font>
      <name val="Times New Roman"/>
      <charset val="204"/>
      <family val="1"/>
      <b val="1"/>
      <sz val="10"/>
    </font>
    <font>
      <name val="Times New Roman"/>
      <charset val="204"/>
      <family val="1"/>
      <sz val="10"/>
    </font>
    <font>
      <name val="Times New Roman"/>
      <charset val="204"/>
      <family val="1"/>
      <color rgb="FFFF0000"/>
      <sz val="10"/>
    </font>
    <font>
      <name val="Calibri"/>
      <charset val="204"/>
      <family val="2"/>
      <color theme="1"/>
      <sz val="10"/>
      <scheme val="minor"/>
    </font>
    <font>
      <name val="Calibri"/>
      <charset val="204"/>
      <family val="2"/>
      <b val="1"/>
      <color theme="1"/>
      <sz val="10"/>
      <scheme val="minor"/>
    </font>
    <font>
      <name val="Arial Narrow"/>
      <charset val="204"/>
      <family val="2"/>
      <color theme="1"/>
      <sz val="10"/>
    </font>
    <font>
      <name val="Calibri"/>
      <charset val="204"/>
      <family val="2"/>
      <color theme="1"/>
      <sz val="10"/>
    </font>
    <font>
      <name val="Times New Roman"/>
      <charset val="204"/>
      <family val="1"/>
      <b val="1"/>
      <sz val="8"/>
    </font>
    <font>
      <name val="Times New Roman"/>
      <charset val="204"/>
      <family val="1"/>
      <b val="1"/>
      <sz val="16"/>
    </font>
    <font>
      <name val="Times New Roman"/>
      <charset val="204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5" fontId="1" fillId="2" borderId="13" applyProtection="1">
      <protection locked="1" hidden="1"/>
    </xf>
    <xf numFmtId="164" fontId="2" fillId="2" borderId="0"/>
  </cellStyleXfs>
  <cellXfs count="82">
    <xf numFmtId="0" fontId="0" fillId="0" borderId="0" pivotButton="0" quotePrefix="0" xfId="0"/>
    <xf numFmtId="0" fontId="3" fillId="0" borderId="16" applyAlignment="1" pivotButton="0" quotePrefix="0" xfId="0">
      <alignment horizontal="center" vertical="center" wrapText="1"/>
    </xf>
    <xf numFmtId="0" fontId="6" fillId="0" borderId="0" pivotButton="0" quotePrefix="0" xfId="0"/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10" fillId="0" borderId="14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3" applyAlignment="1" applyProtection="1" pivotButton="0" quotePrefix="0" xfId="0">
      <alignment horizontal="center" vertical="center"/>
      <protection locked="0" hidden="1"/>
    </xf>
    <xf numFmtId="3" fontId="4" fillId="2" borderId="3" applyAlignment="1" applyProtection="1" pivotButton="0" quotePrefix="0" xfId="0">
      <alignment horizontal="center" vertical="center"/>
      <protection locked="1" hidden="1"/>
    </xf>
    <xf numFmtId="3" fontId="4" fillId="0" borderId="2" applyAlignment="1" applyProtection="1" pivotButton="0" quotePrefix="0" xfId="0">
      <alignment horizontal="center" vertical="center"/>
      <protection locked="0" hidden="1"/>
    </xf>
    <xf numFmtId="0" fontId="4" fillId="0" borderId="10" applyAlignment="1" applyProtection="1" pivotButton="0" quotePrefix="0" xfId="0">
      <alignment horizontal="center" vertical="center"/>
      <protection locked="0" hidden="1"/>
    </xf>
    <xf numFmtId="0" fontId="4" fillId="0" borderId="11" applyAlignment="1" applyProtection="1" pivotButton="0" quotePrefix="0" xfId="0">
      <alignment horizontal="center" vertical="center"/>
      <protection locked="0" hidden="1"/>
    </xf>
    <xf numFmtId="164" fontId="4" fillId="2" borderId="1" applyAlignment="1" applyProtection="1" pivotButton="0" quotePrefix="0" xfId="0">
      <alignment horizontal="center" vertical="center"/>
      <protection locked="0" hidden="1"/>
    </xf>
    <xf numFmtId="165" fontId="5" fillId="2" borderId="1" applyAlignment="1" applyProtection="1" pivotButton="0" quotePrefix="0" xfId="1">
      <alignment horizontal="center" vertical="center"/>
      <protection locked="0" hidden="1"/>
    </xf>
    <xf numFmtId="164" fontId="4" fillId="2" borderId="5" applyAlignment="1" applyProtection="1" pivotButton="0" quotePrefix="0" xfId="0">
      <alignment horizontal="center" vertical="center"/>
      <protection locked="0" hidden="1"/>
    </xf>
    <xf numFmtId="165" fontId="5" fillId="2" borderId="5" applyAlignment="1" applyProtection="1" pivotButton="0" quotePrefix="0" xfId="1">
      <alignment horizontal="center" vertical="center"/>
      <protection locked="0" hidden="1"/>
    </xf>
    <xf numFmtId="0" fontId="4" fillId="0" borderId="23" applyAlignment="1" applyProtection="1" pivotButton="0" quotePrefix="0" xfId="0">
      <alignment horizontal="center" vertical="center"/>
      <protection locked="0" hidden="1"/>
    </xf>
    <xf numFmtId="0" fontId="4" fillId="0" borderId="24" applyAlignment="1" applyProtection="1" pivotButton="0" quotePrefix="0" xfId="0">
      <alignment horizontal="center" vertical="center"/>
      <protection locked="0" hidden="1"/>
    </xf>
    <xf numFmtId="165" fontId="5" fillId="2" borderId="4" applyAlignment="1" applyProtection="1" pivotButton="0" quotePrefix="0" xfId="1">
      <alignment horizontal="center" vertical="center"/>
      <protection locked="0" hidden="1"/>
    </xf>
    <xf numFmtId="165" fontId="5" fillId="2" borderId="6" applyAlignment="1" applyProtection="1" pivotButton="0" quotePrefix="0" xfId="1">
      <alignment horizontal="center" vertical="center"/>
      <protection locked="0" hidden="1"/>
    </xf>
    <xf numFmtId="165" fontId="5" fillId="2" borderId="2" applyAlignment="1" applyProtection="1" pivotButton="0" quotePrefix="0" xfId="1">
      <alignment horizontal="center" vertical="center"/>
      <protection locked="0" hidden="1"/>
    </xf>
    <xf numFmtId="165" fontId="5" fillId="2" borderId="3" applyAlignment="1" applyProtection="1" pivotButton="0" quotePrefix="0" xfId="1">
      <alignment horizontal="center" vertical="center"/>
      <protection locked="0" hidden="1"/>
    </xf>
    <xf numFmtId="166" fontId="4" fillId="2" borderId="4" applyAlignment="1" applyProtection="1" pivotButton="0" quotePrefix="0" xfId="0">
      <alignment horizontal="center" vertical="center"/>
      <protection locked="0" hidden="1"/>
    </xf>
    <xf numFmtId="0" fontId="3" fillId="2" borderId="6" applyAlignment="1" applyProtection="1" pivotButton="0" quotePrefix="0" xfId="0">
      <alignment horizontal="center" vertical="center"/>
      <protection locked="0" hidden="1"/>
    </xf>
    <xf numFmtId="166" fontId="4" fillId="2" borderId="2" applyAlignment="1" applyProtection="1" pivotButton="0" quotePrefix="0" xfId="0">
      <alignment horizontal="center" vertical="center"/>
      <protection locked="0" hidden="1"/>
    </xf>
    <xf numFmtId="0" fontId="3" fillId="2" borderId="3" applyAlignment="1" applyProtection="1" pivotButton="0" quotePrefix="0" xfId="0">
      <alignment horizontal="center" vertical="center"/>
      <protection locked="0" hidden="1"/>
    </xf>
    <xf numFmtId="164" fontId="4" fillId="2" borderId="4" applyAlignment="1" applyProtection="1" pivotButton="0" quotePrefix="0" xfId="0">
      <alignment horizontal="center" vertical="center"/>
      <protection locked="0" hidden="1"/>
    </xf>
    <xf numFmtId="164" fontId="4" fillId="2" borderId="6" applyAlignment="1" applyProtection="1" pivotButton="0" quotePrefix="0" xfId="0">
      <alignment horizontal="center" vertical="center"/>
      <protection locked="0" hidden="1"/>
    </xf>
    <xf numFmtId="164" fontId="4" fillId="2" borderId="2" applyAlignment="1" applyProtection="1" pivotButton="0" quotePrefix="0" xfId="0">
      <alignment horizontal="center" vertical="center"/>
      <protection locked="0" hidden="1"/>
    </xf>
    <xf numFmtId="164" fontId="4" fillId="2" borderId="3" applyAlignment="1" applyProtection="1" pivotButton="0" quotePrefix="0" xfId="0">
      <alignment horizontal="center" vertical="center"/>
      <protection locked="0" hidden="1"/>
    </xf>
    <xf numFmtId="3" fontId="4" fillId="0" borderId="10" applyAlignment="1" applyProtection="1" pivotButton="0" quotePrefix="0" xfId="0">
      <alignment horizontal="center" vertical="center"/>
      <protection locked="0" hidden="1"/>
    </xf>
    <xf numFmtId="3" fontId="4" fillId="0" borderId="11" applyAlignment="1" applyProtection="1" pivotButton="0" quotePrefix="0" xfId="0">
      <alignment horizontal="center" vertical="center"/>
      <protection locked="0" hidden="1"/>
    </xf>
    <xf numFmtId="3" fontId="4" fillId="0" borderId="4" applyAlignment="1" applyProtection="1" pivotButton="0" quotePrefix="0" xfId="0">
      <alignment horizontal="center" vertical="center"/>
      <protection locked="0" hidden="1"/>
    </xf>
    <xf numFmtId="3" fontId="4" fillId="2" borderId="6" applyAlignment="1" applyProtection="1" pivotButton="0" quotePrefix="0" xfId="0">
      <alignment horizontal="center" vertical="center"/>
      <protection locked="0" hidden="1"/>
    </xf>
    <xf numFmtId="167" fontId="4" fillId="0" borderId="20" applyAlignment="1" applyProtection="1" pivotButton="0" quotePrefix="0" xfId="0">
      <alignment horizontal="center" vertical="center"/>
      <protection locked="0" hidden="1"/>
    </xf>
    <xf numFmtId="167" fontId="4" fillId="0" borderId="21" applyAlignment="1" applyProtection="1" pivotButton="0" quotePrefix="0" xfId="0">
      <alignment horizontal="center" vertical="center"/>
      <protection locked="0" hidden="1"/>
    </xf>
    <xf numFmtId="0" fontId="4" fillId="0" borderId="10" applyAlignment="1" applyProtection="1" pivotButton="0" quotePrefix="0" xfId="0">
      <alignment vertical="center"/>
      <protection locked="0" hidden="0"/>
    </xf>
    <xf numFmtId="0" fontId="4" fillId="0" borderId="11" applyAlignment="1" applyProtection="1" pivotButton="0" quotePrefix="0" xfId="0">
      <alignment vertical="center"/>
      <protection locked="0" hidden="0"/>
    </xf>
    <xf numFmtId="0" fontId="3" fillId="0" borderId="9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15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41" pivotButton="0" quotePrefix="0" xfId="0"/>
    <xf numFmtId="0" fontId="0" fillId="0" borderId="27" pivotButton="0" quotePrefix="0" xfId="0"/>
    <xf numFmtId="0" fontId="0" fillId="0" borderId="29" pivotButton="0" quotePrefix="0" xfId="0"/>
    <xf numFmtId="2" fontId="4" fillId="0" borderId="4" applyAlignment="1" applyProtection="1" pivotButton="0" quotePrefix="0" xfId="0">
      <alignment horizontal="center" vertical="center"/>
      <protection locked="0" hidden="1"/>
    </xf>
    <xf numFmtId="2" fontId="4" fillId="2" borderId="6" applyAlignment="1" applyProtection="1" pivotButton="0" quotePrefix="0" xfId="0">
      <alignment horizontal="center" vertical="center"/>
      <protection locked="0" hidden="1"/>
    </xf>
    <xf numFmtId="2" fontId="4" fillId="0" borderId="10" applyAlignment="1" applyProtection="1" pivotButton="0" quotePrefix="0" xfId="0">
      <alignment horizontal="center" vertical="center"/>
      <protection locked="0" hidden="1"/>
    </xf>
    <xf numFmtId="2" fontId="4" fillId="2" borderId="4" applyAlignment="1" applyProtection="1" pivotButton="0" quotePrefix="0" xfId="0">
      <alignment horizontal="center" vertical="center"/>
      <protection locked="0" hidden="1"/>
    </xf>
    <xf numFmtId="2" fontId="4" fillId="2" borderId="5" applyAlignment="1" applyProtection="1" pivotButton="0" quotePrefix="0" xfId="0">
      <alignment horizontal="center" vertical="center"/>
      <protection locked="0" hidden="1"/>
    </xf>
    <xf numFmtId="165" fontId="5" fillId="2" borderId="4" applyAlignment="1" applyProtection="1" pivotButton="0" quotePrefix="0" xfId="1">
      <alignment horizontal="center" vertical="center"/>
      <protection locked="0" hidden="1"/>
    </xf>
    <xf numFmtId="165" fontId="5" fillId="2" borderId="5" applyAlignment="1" applyProtection="1" pivotButton="0" quotePrefix="0" xfId="1">
      <alignment horizontal="center" vertical="center"/>
      <protection locked="0" hidden="1"/>
    </xf>
    <xf numFmtId="165" fontId="5" fillId="2" borderId="6" applyAlignment="1" applyProtection="1" pivotButton="0" quotePrefix="0" xfId="1">
      <alignment horizontal="center" vertical="center"/>
      <protection locked="0" hidden="1"/>
    </xf>
  </cellXfs>
  <cellStyles count="3">
    <cellStyle name="Обычный" xfId="0" builtinId="0"/>
    <cellStyle name="БалансОборудования" xfId="1"/>
    <cellStyle name="КоэффициентЗагрузки" xfId="2"/>
  </cellStyles>
  <dxfs count="3"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тиль таблицы 1" pivot="0" count="3">
      <tableStyleElement type="wholeTable" dxfId="2"/>
      <tableStyleElement type="headerRow" dxfId="1"/>
      <tableStyleElement type="total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24"/>
  <sheetViews>
    <sheetView tabSelected="1" view="pageBreakPreview" zoomScale="85" zoomScaleNormal="85" zoomScaleSheetLayoutView="85" zoomScalePageLayoutView="85" workbookViewId="0">
      <selection activeCell="C35" sqref="C35"/>
    </sheetView>
  </sheetViews>
  <sheetFormatPr baseColWidth="8" defaultRowHeight="15"/>
  <cols>
    <col width="4.5703125" customWidth="1" min="1" max="1"/>
    <col width="44.5703125" customWidth="1" min="2" max="2"/>
    <col width="7.42578125" bestFit="1" customWidth="1" style="13" min="3" max="3"/>
    <col width="7.5703125" customWidth="1" min="4" max="9"/>
    <col width="14.7109375" customWidth="1" min="10" max="10"/>
    <col width="7" customWidth="1" min="11" max="11"/>
    <col width="7.85546875" customWidth="1" min="12" max="13"/>
    <col width="10.140625" customWidth="1" min="14" max="19"/>
    <col width="8.28515625" customWidth="1" min="20" max="22"/>
    <col width="13.5703125" customWidth="1" min="23" max="23"/>
  </cols>
  <sheetData>
    <row r="1" ht="21.75" customHeight="1">
      <c r="B1" s="10" t="inlineStr">
        <is>
          <t>УТВЕРЖДАЮ</t>
        </is>
      </c>
      <c r="C1" s="12" t="n"/>
    </row>
    <row r="2" ht="24" customHeight="1">
      <c r="B2" s="10" t="inlineStr">
        <is>
          <t>Директор</t>
        </is>
      </c>
      <c r="C2" s="12" t="n"/>
    </row>
    <row r="3" ht="23.25" customHeight="1">
      <c r="B3" s="10" t="n"/>
      <c r="C3" s="12" t="n"/>
    </row>
    <row r="4" ht="22.5" customHeight="1">
      <c r="B4" s="10" t="inlineStr">
        <is>
          <t>______________________ ФИО</t>
        </is>
      </c>
      <c r="C4" s="12" t="n"/>
    </row>
    <row r="5" ht="23.25" customHeight="1">
      <c r="B5" s="10" t="inlineStr">
        <is>
          <t>"______" _____________________ год</t>
        </is>
      </c>
      <c r="C5" s="12" t="n"/>
    </row>
    <row r="6" ht="24.4" customHeight="1"/>
    <row r="7" ht="24.4" customHeight="1" thickBot="1">
      <c r="A7" s="54" t="inlineStr">
        <is>
          <t>Расчёт коэффициента загрузки и потребного количества оборудования на 2026-01 — Демонстрационное предприятие (синтетические данные)</t>
        </is>
      </c>
    </row>
    <row r="8" ht="31.5" customHeight="1">
      <c r="A8" s="55" t="inlineStr">
        <is>
          <t>№ п/п</t>
        </is>
      </c>
      <c r="B8" s="58" t="inlineStr">
        <is>
          <t>Вид (модель) оборудования *</t>
        </is>
      </c>
      <c r="C8" s="55" t="inlineStr">
        <is>
          <t>Кол-во</t>
        </is>
      </c>
      <c r="D8" s="51" t="inlineStr">
        <is>
          <t>Действительный месячный фонд времени, час</t>
        </is>
      </c>
      <c r="E8" s="64" t="n"/>
      <c r="F8" s="64" t="n"/>
      <c r="G8" s="64" t="n"/>
      <c r="H8" s="64" t="n"/>
      <c r="I8" s="65" t="n"/>
      <c r="J8" s="58" t="inlineStr">
        <is>
          <t>Трудоёмкость
суммарная, ст-час</t>
        </is>
      </c>
      <c r="K8" s="51" t="inlineStr">
        <is>
          <t>Коэффициент загрузки, Кз</t>
        </is>
      </c>
      <c r="L8" s="64" t="n"/>
      <c r="M8" s="65" t="n"/>
      <c r="N8" s="51" t="inlineStr">
        <is>
          <t>Потребное количество оборудования, ед.</t>
        </is>
      </c>
      <c r="O8" s="64" t="n"/>
      <c r="P8" s="64" t="n"/>
      <c r="Q8" s="64" t="n"/>
      <c r="R8" s="64" t="n"/>
      <c r="S8" s="65" t="n"/>
      <c r="T8" s="51" t="inlineStr">
        <is>
          <t>Баланс оборудования, ед.</t>
        </is>
      </c>
      <c r="U8" s="64" t="n"/>
      <c r="V8" s="65" t="n"/>
      <c r="W8" s="55" t="inlineStr">
        <is>
          <t>Примечание</t>
        </is>
      </c>
    </row>
    <row r="9" ht="24.4" customHeight="1">
      <c r="A9" s="66" t="n"/>
      <c r="B9" s="67" t="n"/>
      <c r="C9" s="66" t="n"/>
      <c r="D9" s="61" t="inlineStr">
        <is>
          <t>1 смена</t>
        </is>
      </c>
      <c r="E9" s="68" t="n"/>
      <c r="F9" s="61" t="inlineStr">
        <is>
          <t>2 смены</t>
        </is>
      </c>
      <c r="G9" s="68" t="n"/>
      <c r="H9" s="63" t="inlineStr">
        <is>
          <t>3 смены</t>
        </is>
      </c>
      <c r="I9" s="68" t="n"/>
      <c r="J9" s="67" t="n"/>
      <c r="K9" s="61" t="inlineStr">
        <is>
          <t>1 смена</t>
        </is>
      </c>
      <c r="L9" s="47" t="inlineStr">
        <is>
          <t>2 смены</t>
        </is>
      </c>
      <c r="M9" s="49" t="inlineStr">
        <is>
          <t>3 смены</t>
        </is>
      </c>
      <c r="N9" s="61" t="inlineStr">
        <is>
          <t>1 смена</t>
        </is>
      </c>
      <c r="O9" s="68" t="n"/>
      <c r="P9" s="61" t="inlineStr">
        <is>
          <t>2 смены</t>
        </is>
      </c>
      <c r="Q9" s="68" t="n"/>
      <c r="R9" s="63" t="inlineStr">
        <is>
          <t>3 смены</t>
        </is>
      </c>
      <c r="S9" s="68" t="n"/>
      <c r="T9" s="47" t="inlineStr">
        <is>
          <t>1 смена</t>
        </is>
      </c>
      <c r="U9" s="47" t="inlineStr">
        <is>
          <t>2 смены</t>
        </is>
      </c>
      <c r="V9" s="49" t="inlineStr">
        <is>
          <t>3 смены</t>
        </is>
      </c>
      <c r="W9" s="66" t="n"/>
    </row>
    <row r="10" ht="24.4" customHeight="1" thickBot="1">
      <c r="A10" s="69" t="n"/>
      <c r="B10" s="70" t="n"/>
      <c r="C10" s="69" t="n"/>
      <c r="D10" s="62" t="inlineStr">
        <is>
          <t>1 ед.</t>
        </is>
      </c>
      <c r="E10" s="50" t="inlineStr">
        <is>
          <t>Всего</t>
        </is>
      </c>
      <c r="F10" s="62" t="inlineStr">
        <is>
          <t>1 ед.</t>
        </is>
      </c>
      <c r="G10" s="50" t="inlineStr">
        <is>
          <t>Всего</t>
        </is>
      </c>
      <c r="H10" s="1" t="inlineStr">
        <is>
          <t>1 ед.</t>
        </is>
      </c>
      <c r="I10" s="50" t="inlineStr">
        <is>
          <t>Всего</t>
        </is>
      </c>
      <c r="J10" s="70" t="n"/>
      <c r="K10" s="71" t="n"/>
      <c r="L10" s="72" t="n"/>
      <c r="M10" s="73" t="n"/>
      <c r="N10" s="62" t="inlineStr">
        <is>
          <t>Расчётное</t>
        </is>
      </c>
      <c r="O10" s="50" t="inlineStr">
        <is>
          <t>Принятое</t>
        </is>
      </c>
      <c r="P10" s="62" t="inlineStr">
        <is>
          <t>Расчётное</t>
        </is>
      </c>
      <c r="Q10" s="50" t="inlineStr">
        <is>
          <t>Принятое</t>
        </is>
      </c>
      <c r="R10" s="1" t="inlineStr">
        <is>
          <t>Расчётное</t>
        </is>
      </c>
      <c r="S10" s="50" t="inlineStr">
        <is>
          <t>Принятое</t>
        </is>
      </c>
      <c r="T10" s="72" t="n"/>
      <c r="U10" s="72" t="n"/>
      <c r="V10" s="73" t="n"/>
      <c r="W10" s="69" t="n"/>
    </row>
    <row r="11" ht="20.25" customHeight="1" thickBot="1">
      <c r="A11" s="5" t="inlineStr">
        <is>
          <t>1</t>
        </is>
      </c>
      <c r="B11" s="5" t="inlineStr">
        <is>
          <t>2</t>
        </is>
      </c>
      <c r="C11" s="7" t="inlineStr">
        <is>
          <t>3</t>
        </is>
      </c>
      <c r="D11" s="5" t="inlineStr">
        <is>
          <t>4</t>
        </is>
      </c>
      <c r="E11" s="6" t="inlineStr">
        <is>
          <t>5</t>
        </is>
      </c>
      <c r="F11" s="5" t="inlineStr">
        <is>
          <t>6</t>
        </is>
      </c>
      <c r="G11" s="6" t="inlineStr">
        <is>
          <t>7</t>
        </is>
      </c>
      <c r="H11" s="5" t="inlineStr">
        <is>
          <t>8</t>
        </is>
      </c>
      <c r="I11" s="6" t="inlineStr">
        <is>
          <t>9</t>
        </is>
      </c>
      <c r="J11" s="5" t="inlineStr">
        <is>
          <t>10</t>
        </is>
      </c>
      <c r="K11" s="5" t="inlineStr">
        <is>
          <t>11</t>
        </is>
      </c>
      <c r="L11" s="6" t="inlineStr">
        <is>
          <t>12</t>
        </is>
      </c>
      <c r="M11" s="8" t="inlineStr">
        <is>
          <t>13</t>
        </is>
      </c>
      <c r="N11" s="5" t="inlineStr">
        <is>
          <t>14</t>
        </is>
      </c>
      <c r="O11" s="6" t="inlineStr">
        <is>
          <t>15</t>
        </is>
      </c>
      <c r="P11" s="6" t="inlineStr">
        <is>
          <t>16</t>
        </is>
      </c>
      <c r="Q11" s="6" t="inlineStr">
        <is>
          <t>17</t>
        </is>
      </c>
      <c r="R11" s="6" t="inlineStr">
        <is>
          <t>18</t>
        </is>
      </c>
      <c r="S11" s="6" t="inlineStr">
        <is>
          <t>19</t>
        </is>
      </c>
      <c r="T11" s="5" t="inlineStr">
        <is>
          <t>20</t>
        </is>
      </c>
      <c r="U11" s="6" t="inlineStr">
        <is>
          <t>21</t>
        </is>
      </c>
      <c r="V11" s="6" t="inlineStr">
        <is>
          <t>22</t>
        </is>
      </c>
      <c r="W11" s="7" t="inlineStr">
        <is>
          <t>23</t>
        </is>
      </c>
    </row>
    <row r="12">
      <c r="A12" s="41" t="n">
        <v>1</v>
      </c>
      <c r="B12" s="43" t="inlineStr">
        <is>
          <t>Токарный</t>
        </is>
      </c>
      <c r="C12" s="17" t="n">
        <v>1</v>
      </c>
      <c r="D12" s="74" t="n">
        <v>120</v>
      </c>
      <c r="E12" s="75" t="n">
        <v>120</v>
      </c>
      <c r="F12" s="74" t="n">
        <v>240</v>
      </c>
      <c r="G12" s="75" t="n">
        <v>240</v>
      </c>
      <c r="H12" s="74" t="n">
        <v>360</v>
      </c>
      <c r="I12" s="75" t="n">
        <v>360</v>
      </c>
      <c r="J12" s="76" t="n">
        <v>300</v>
      </c>
      <c r="K12" s="77" t="n">
        <v>2.5</v>
      </c>
      <c r="L12" s="78" t="n">
        <v>1.25</v>
      </c>
      <c r="M12" s="75" t="n">
        <v>0.8333333333333334</v>
      </c>
      <c r="N12" s="77" t="n">
        <v>2.631578947368421</v>
      </c>
      <c r="O12" s="30" t="n">
        <v>3</v>
      </c>
      <c r="P12" s="77" t="n">
        <v>1.31578947368421</v>
      </c>
      <c r="Q12" s="30" t="n">
        <v>2</v>
      </c>
      <c r="R12" s="77" t="n">
        <v>0.8771929824561403</v>
      </c>
      <c r="S12" s="30" t="n">
        <v>1</v>
      </c>
      <c r="T12" s="79" t="n">
        <v>-2</v>
      </c>
      <c r="U12" s="80" t="n">
        <v>-1</v>
      </c>
      <c r="V12" s="81" t="n">
        <v>0</v>
      </c>
      <c r="W12" s="23" t="n"/>
    </row>
    <row r="13">
      <c r="A13" s="41" t="n">
        <v>2</v>
      </c>
      <c r="B13" s="43" t="inlineStr">
        <is>
          <t>Резерв</t>
        </is>
      </c>
      <c r="C13" s="17" t="n">
        <v>2</v>
      </c>
      <c r="D13" s="74" t="n">
        <v>120</v>
      </c>
      <c r="E13" s="75" t="n">
        <v>240</v>
      </c>
      <c r="F13" s="74" t="n">
        <v>240</v>
      </c>
      <c r="G13" s="75" t="n">
        <v>480</v>
      </c>
      <c r="H13" s="74" t="n">
        <v>360</v>
      </c>
      <c r="I13" s="75" t="n">
        <v>720</v>
      </c>
      <c r="J13" s="37" t="n">
        <v>0</v>
      </c>
      <c r="K13" s="77" t="n">
        <v>0</v>
      </c>
      <c r="L13" s="78" t="n">
        <v>0</v>
      </c>
      <c r="M13" s="75" t="n">
        <v>0</v>
      </c>
      <c r="N13" s="77" t="n">
        <v>0</v>
      </c>
      <c r="O13" s="30" t="n">
        <v>0</v>
      </c>
      <c r="P13" s="77" t="n">
        <v>0</v>
      </c>
      <c r="Q13" s="30" t="n">
        <v>0</v>
      </c>
      <c r="R13" s="77" t="n">
        <v>0</v>
      </c>
      <c r="S13" s="30" t="n">
        <v>0</v>
      </c>
      <c r="T13" s="79" t="n">
        <v>2</v>
      </c>
      <c r="U13" s="80" t="n">
        <v>2</v>
      </c>
      <c r="V13" s="81" t="n">
        <v>2</v>
      </c>
      <c r="W13" s="23" t="n"/>
    </row>
    <row r="14"/>
    <row r="15"/>
    <row r="16">
      <c r="B16" s="9" t="inlineStr">
        <is>
          <t>Максимальный принятый коэффициент загрузки: 0.95</t>
        </is>
      </c>
    </row>
    <row r="17">
      <c r="B17" s="9" t="inlineStr">
        <is>
          <t>* — принятое количество: округление вверх при дробной части &gt; 0.2</t>
        </is>
      </c>
    </row>
    <row r="18" ht="21" customHeight="1">
      <c r="B18" s="9" t="inlineStr">
        <is>
          <t>Разработал:</t>
        </is>
      </c>
    </row>
    <row r="19" ht="22.5" customHeight="1">
      <c r="B19" s="9" t="inlineStr">
        <is>
          <t>Технолог</t>
        </is>
      </c>
    </row>
    <row r="20"/>
    <row r="21"/>
    <row r="22"/>
    <row r="23" ht="15.75" customHeight="1"/>
    <row r="24" ht="15.75" customHeight="1"/>
  </sheetData>
  <mergeCells count="22">
    <mergeCell ref="A8:A10"/>
    <mergeCell ref="W8:W10"/>
    <mergeCell ref="N8:S8"/>
    <mergeCell ref="H9:I9"/>
    <mergeCell ref="P9:Q9"/>
    <mergeCell ref="T9:T10"/>
    <mergeCell ref="K8:M8"/>
    <mergeCell ref="V9:V10"/>
    <mergeCell ref="C8:C10"/>
    <mergeCell ref="T8:V8"/>
    <mergeCell ref="A7:W7"/>
    <mergeCell ref="D8:I8"/>
    <mergeCell ref="J8:J10"/>
    <mergeCell ref="L9:L10"/>
    <mergeCell ref="B8:B10"/>
    <mergeCell ref="D9:E9"/>
    <mergeCell ref="F9:G9"/>
    <mergeCell ref="N9:O9"/>
    <mergeCell ref="K9:K10"/>
    <mergeCell ref="M9:M10"/>
    <mergeCell ref="U9:U10"/>
    <mergeCell ref="R9:S9"/>
  </mergeCells>
  <dataValidations count="2">
    <dataValidation sqref="A12:A16" showDropDown="0" showInputMessage="1" showErrorMessage="1" allowBlank="1" type="whole">
      <formula1>1</formula1>
      <formula2>1000000000</formula2>
    </dataValidation>
    <dataValidation sqref="C12:D16 F12:F16 H12:H16 J12:J16" showDropDown="0" showInputMessage="0" showErrorMessage="1" allowBlank="1" errorTitle="Ошибка ввода данных" error="Допускается ввод только числовых значений!" type="custom">
      <formula1>ISNUMBER(C12)</formula1>
    </dataValidation>
  </dataValidations>
  <printOptions horizontalCentered="1"/>
  <pageMargins left="0.7874015748031497" right="0.5905511811023623" top="0.5905511811023623" bottom="0.5905511811023623" header="0.3149606299212598" footer="0.3149606299212598"/>
  <pageSetup orientation="landscape" paperSize="9" scale="55" fitToHeight="0" fitToWidth="1"/>
  <headerFooter>
    <oddHeader>&amp;R&amp;"Times New Roman,полужирный"&amp;12 ПРИЛОЖЕНИЕ В_x000a_Таблица 3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Предприятие</t>
        </is>
      </c>
      <c r="B1" t="inlineStr">
        <is>
          <t>Демонстрационное предприятие (синтетические данные)</t>
        </is>
      </c>
    </row>
    <row r="2">
      <c r="A2" t="inlineStr">
        <is>
          <t>Период</t>
        </is>
      </c>
      <c r="B2" t="inlineStr">
        <is>
          <t>2026-01</t>
        </is>
      </c>
    </row>
    <row r="3">
      <c r="A3" t="inlineStr">
        <is>
          <t>Методика</t>
        </is>
      </c>
      <c r="B3" t="inlineStr">
        <is>
          <t>1.0 — шаблоны пользователя</t>
        </is>
      </c>
    </row>
    <row r="4">
      <c r="A4" t="inlineStr">
        <is>
          <t>Дата UTC</t>
        </is>
      </c>
      <c r="B4" t="inlineStr">
        <is>
          <t>2026-10-26T11:41:58.917586+00:00</t>
        </is>
      </c>
    </row>
    <row r="5">
      <c r="A5" t="inlineStr">
        <is>
          <t>Статус</t>
        </is>
      </c>
      <c r="B5" t="inlineStr">
        <is>
          <t>CALCULATED</t>
        </is>
      </c>
    </row>
    <row r="6">
      <c r="A6" t="inlineStr">
        <is>
          <t>Календарь</t>
        </is>
      </c>
      <c r="B6" t="inlineStr">
        <is>
          <t>Федеральный календарь РФ, пятидневка 40 ч; переносы: постановление Правительства РФ от 24.09.2025 №1466</t>
        </is>
      </c>
    </row>
    <row r="7">
      <c r="A7" t="inlineStr">
        <is>
          <t>Режим мощности</t>
        </is>
      </c>
      <c r="B7" t="inlineStr">
        <is>
          <t>Постоянная структура программы</t>
        </is>
      </c>
    </row>
    <row r="8">
      <c r="A8" t="inlineStr">
        <is>
          <t>Замечания</t>
        </is>
      </c>
      <c r="B8" t="inlineStr">
        <is>
          <t>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Сергей Владимирович Смирнов</dc:creator>
  <dcterms:created xsi:type="dcterms:W3CDTF">2023-10-09T06:31:28Z</dcterms:created>
  <dcterms:modified xsi:type="dcterms:W3CDTF">2026-10-26T11:41:58Z</dcterms:modified>
  <cp:lastModifiedBy>Габитов Дмитрий Сергеевич</cp:lastModifiedBy>
  <cp:lastPrinted>2025-10-17T10:30:21Z</cp:lastPrinted>
</cp:coreProperties>
</file>