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377" windowHeight="7757" tabRatio="600" firstSheet="0" activeTab="0" autoFilterDateGrouping="1"/>
  </bookViews>
  <sheets>
    <sheet name="Sheet1" sheetId="1" state="visible" r:id="rId1"/>
    <sheet name="Нормативы потерь" sheetId="2" state="visible" r:id="rId2"/>
    <sheet name="Паспорт расчёта" sheetId="3" state="visible" r:id="rId3"/>
  </sheets>
  <definedNames>
    <definedName name="_xlnm.Print_Titles" localSheetId="0">'Sheet1'!$1:$4</definedName>
    <definedName name="_xlnm.Print_Area" localSheetId="0">'Sheet1'!$A$1:$K$12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0.0"/>
  </numFmts>
  <fonts count="5">
    <font>
      <name val="Arial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6"/>
    </font>
  </fonts>
  <fills count="4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1"/>
  </cellStyleXfs>
  <cellXfs count="72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164" fontId="2" fillId="0" borderId="10" applyAlignment="1" pivotButton="0" quotePrefix="0" xfId="0">
      <alignment horizontal="left" vertical="center" indent="1"/>
    </xf>
    <xf numFmtId="164" fontId="2" fillId="0" borderId="15" applyAlignment="1" pivotButton="0" quotePrefix="0" xfId="0">
      <alignment horizontal="left" vertical="center" indent="1"/>
    </xf>
    <xf numFmtId="0" fontId="0" fillId="0" borderId="1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5" fontId="2" fillId="3" borderId="1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164" fontId="2" fillId="0" borderId="20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top" indent="1"/>
    </xf>
    <xf numFmtId="0" fontId="2" fillId="0" borderId="5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17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20" applyAlignment="1" pivotButton="0" quotePrefix="0" xfId="0">
      <alignment vertical="center" wrapText="1"/>
    </xf>
    <xf numFmtId="0" fontId="2" fillId="0" borderId="10" applyAlignment="1" pivotButton="0" quotePrefix="0" xfId="0">
      <alignment horizontal="justify" vertical="center"/>
    </xf>
    <xf numFmtId="0" fontId="2" fillId="0" borderId="15" applyAlignment="1" pivotButton="0" quotePrefix="0" xfId="0">
      <alignment horizontal="justify" vertical="center"/>
    </xf>
    <xf numFmtId="0" fontId="2" fillId="0" borderId="10" applyAlignment="1" pivotButton="0" quotePrefix="0" xfId="0">
      <alignment horizontal="justify" vertical="center" wrapText="1"/>
    </xf>
    <xf numFmtId="0" fontId="3" fillId="0" borderId="12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/>
    </xf>
    <xf numFmtId="0" fontId="3" fillId="0" borderId="13" applyAlignment="1" pivotButton="0" quotePrefix="0" xfId="0">
      <alignment horizontal="center" vertical="top"/>
    </xf>
    <xf numFmtId="0" fontId="3" fillId="0" borderId="14" applyAlignment="1" pivotButton="0" quotePrefix="0" xfId="0">
      <alignment horizontal="center" vertical="top"/>
    </xf>
    <xf numFmtId="0" fontId="2" fillId="0" borderId="17" applyAlignment="1" pivotButton="0" quotePrefix="0" xfId="0">
      <alignment horizontal="center" vertical="center" wrapText="1"/>
    </xf>
    <xf numFmtId="1" fontId="2" fillId="3" borderId="6" applyAlignment="1" pivotButton="0" quotePrefix="0" xfId="0">
      <alignment horizontal="center" vertical="center"/>
    </xf>
    <xf numFmtId="1" fontId="2" fillId="3" borderId="19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 wrapText="1"/>
    </xf>
    <xf numFmtId="1" fontId="2" fillId="3" borderId="19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24" pivotButton="0" quotePrefix="0" xfId="0"/>
    <xf numFmtId="0" fontId="0" fillId="0" borderId="28" pivotButton="0" quotePrefix="0" xfId="0"/>
    <xf numFmtId="164" fontId="2" fillId="0" borderId="10" applyAlignment="1" pivotButton="0" quotePrefix="0" xfId="0">
      <alignment horizontal="left" vertical="center" indent="1"/>
    </xf>
    <xf numFmtId="2" fontId="2" fillId="3" borderId="6" applyAlignment="1" pivotButton="0" quotePrefix="0" xfId="0">
      <alignment horizontal="center" vertical="center"/>
    </xf>
    <xf numFmtId="164" fontId="2" fillId="0" borderId="15" applyAlignment="1" pivotButton="0" quotePrefix="0" xfId="0">
      <alignment horizontal="left" vertical="center" indent="1"/>
    </xf>
    <xf numFmtId="164" fontId="2" fillId="0" borderId="20" applyAlignment="1" pivotButton="0" quotePrefix="0" xfId="0">
      <alignment horizontal="left" vertical="center" indent="1"/>
    </xf>
    <xf numFmtId="0" fontId="1" fillId="2" borderId="31" applyAlignment="1" pivotButton="0" quotePrefix="0" xfId="0">
      <alignment horizontal="center" vertical="center"/>
    </xf>
    <xf numFmtId="0" fontId="0" fillId="0" borderId="25" pivotButton="0" quotePrefix="0" xfId="0"/>
    <xf numFmtId="165" fontId="2" fillId="3" borderId="19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1"/>
  <sheetViews>
    <sheetView tabSelected="1" zoomScale="85" zoomScaleNormal="85" zoomScaleSheetLayoutView="85" workbookViewId="0">
      <pane xSplit="1" ySplit="4" topLeftCell="B59" activePane="bottomRight" state="frozen"/>
      <selection pane="topRight" activeCell="B1" sqref="B1"/>
      <selection pane="bottomLeft" activeCell="A4" sqref="A4"/>
      <selection pane="bottomRight" activeCell="A63" sqref="A63:K63"/>
    </sheetView>
  </sheetViews>
  <sheetFormatPr baseColWidth="8" defaultRowHeight="12.9"/>
  <cols>
    <col width="5.25" bestFit="1" customWidth="1" min="1" max="1"/>
    <col width="61.25" customWidth="1" min="2" max="2"/>
    <col width="13.5" customWidth="1" min="3" max="3"/>
    <col width="9.5" customWidth="1" min="4" max="4"/>
    <col width="16" customWidth="1" min="5" max="5"/>
    <col width="13.375" customWidth="1" min="6" max="6"/>
    <col width="9.75" customWidth="1" min="7" max="7"/>
    <col width="16" customWidth="1" min="8" max="8"/>
    <col width="15.125" customWidth="1" min="9" max="9"/>
    <col width="9.5" customWidth="1" min="10" max="10"/>
    <col width="16" customWidth="1" min="11" max="11"/>
  </cols>
  <sheetData>
    <row r="1" ht="35" customFormat="1" customHeight="1" s="4" thickBot="1">
      <c r="A1" s="48" t="inlineStr">
        <is>
          <t>Действительный фонд времени работы оборудования — 2026-01</t>
        </is>
      </c>
    </row>
    <row r="2" ht="16.3" customHeight="1">
      <c r="A2" s="58" t="inlineStr">
        <is>
          <t>п/п</t>
        </is>
      </c>
      <c r="B2" s="58" t="inlineStr">
        <is>
          <t>Наименование оборудования</t>
        </is>
      </c>
      <c r="C2" s="49" t="inlineStr">
        <is>
          <t>При 1 смене</t>
        </is>
      </c>
      <c r="D2" s="60" t="n"/>
      <c r="E2" s="61" t="n"/>
      <c r="F2" s="49" t="inlineStr">
        <is>
          <t>При 2 сменах</t>
        </is>
      </c>
      <c r="G2" s="60" t="n"/>
      <c r="H2" s="61" t="n"/>
      <c r="I2" s="55" t="inlineStr">
        <is>
          <t>При 3 сменах</t>
        </is>
      </c>
      <c r="J2" s="60" t="n"/>
      <c r="K2" s="61" t="n"/>
    </row>
    <row r="3" ht="40.75" customHeight="1" thickBot="1">
      <c r="A3" s="62" t="n"/>
      <c r="B3" s="62" t="n"/>
      <c r="C3" s="5" t="inlineStr">
        <is>
          <t>Номинальный месячный фонд времени, час</t>
        </is>
      </c>
      <c r="D3" s="6" t="inlineStr">
        <is>
          <t>% потерь фонда времени</t>
        </is>
      </c>
      <c r="E3" s="7" t="inlineStr">
        <is>
          <t>Действительный месячный фонд времени, час</t>
        </is>
      </c>
      <c r="F3" s="5" t="inlineStr">
        <is>
          <t>Номинальный месячный фонд времени, час</t>
        </is>
      </c>
      <c r="G3" s="6" t="inlineStr">
        <is>
          <t>% потерь фонда времени</t>
        </is>
      </c>
      <c r="H3" s="7" t="inlineStr">
        <is>
          <t>Действительный месячный фонд времени, час</t>
        </is>
      </c>
      <c r="I3" s="5" t="inlineStr">
        <is>
          <t>Номинальный месячный фонд времени, час</t>
        </is>
      </c>
      <c r="J3" s="6" t="inlineStr">
        <is>
          <t>% потерь фонда времени</t>
        </is>
      </c>
      <c r="K3" s="7" t="inlineStr">
        <is>
          <t>Действительный месячный фонд времени, час</t>
        </is>
      </c>
    </row>
    <row r="4" ht="13.6" customHeight="1" thickBot="1">
      <c r="A4" s="35" t="n">
        <v>1</v>
      </c>
      <c r="B4" s="36" t="n">
        <v>2</v>
      </c>
      <c r="C4" s="37" t="n">
        <v>3</v>
      </c>
      <c r="D4" s="36" t="n">
        <v>4</v>
      </c>
      <c r="E4" s="37" t="n">
        <v>5</v>
      </c>
      <c r="F4" s="36" t="n">
        <v>6</v>
      </c>
      <c r="G4" s="37" t="n">
        <v>7</v>
      </c>
      <c r="H4" s="36" t="n">
        <v>8</v>
      </c>
      <c r="I4" s="37" t="n">
        <v>9</v>
      </c>
      <c r="J4" s="36" t="n">
        <v>10</v>
      </c>
      <c r="K4" s="38" t="n">
        <v>11</v>
      </c>
    </row>
    <row r="5" ht="22.1" customHeight="1" thickBot="1">
      <c r="A5" s="45" t="inlineStr">
        <is>
          <t>Демонстрационное предприятие (синтетические данные)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4" t="n"/>
    </row>
    <row r="6" ht="22.95" customHeight="1">
      <c r="A6" s="65" t="n">
        <v>1</v>
      </c>
      <c r="B6" s="26" t="inlineStr">
        <is>
          <t>Токарный</t>
        </is>
      </c>
      <c r="C6" s="11" t="n">
        <v>120</v>
      </c>
      <c r="D6" s="15" t="n">
        <v>0</v>
      </c>
      <c r="E6" s="66" t="n">
        <v>120</v>
      </c>
      <c r="F6" s="11" t="n">
        <v>240</v>
      </c>
      <c r="G6" s="15" t="n">
        <v>0</v>
      </c>
      <c r="H6" s="66" t="n">
        <v>240</v>
      </c>
      <c r="I6" s="16" t="n">
        <v>360</v>
      </c>
      <c r="J6" s="15" t="n">
        <v>0</v>
      </c>
      <c r="K6" s="66" t="n">
        <v>360</v>
      </c>
    </row>
    <row r="7" ht="22.95" customHeight="1">
      <c r="A7" s="65" t="n">
        <v>2</v>
      </c>
      <c r="B7" s="26" t="inlineStr">
        <is>
          <t>Резерв</t>
        </is>
      </c>
      <c r="C7" s="11" t="n">
        <v>120</v>
      </c>
      <c r="D7" s="15" t="n">
        <v>0</v>
      </c>
      <c r="E7" s="66" t="n">
        <v>120</v>
      </c>
      <c r="F7" s="11" t="n">
        <v>240</v>
      </c>
      <c r="G7" s="15" t="n">
        <v>0</v>
      </c>
      <c r="H7" s="66" t="n">
        <v>240</v>
      </c>
      <c r="I7" s="16" t="n">
        <v>360</v>
      </c>
      <c r="J7" s="15" t="n">
        <v>0</v>
      </c>
      <c r="K7" s="66" t="n">
        <v>360</v>
      </c>
    </row>
    <row r="8" ht="22.95" customHeight="1"/>
    <row r="9" ht="22.95" customHeight="1"/>
    <row r="10" ht="22.95" customHeight="1" thickBot="1"/>
    <row r="11" ht="22.1" customHeight="1" thickBot="1"/>
    <row r="12" ht="22.95" customHeight="1"/>
    <row r="13" ht="22.95" customHeight="1"/>
    <row r="14" ht="22.95" customHeight="1"/>
    <row r="15" ht="22.95" customHeight="1"/>
    <row r="16" ht="22.95" customHeight="1"/>
    <row r="17" ht="22.95" customHeight="1"/>
    <row r="18" ht="22.95" customHeight="1"/>
    <row r="19" ht="22.95" customHeight="1"/>
    <row r="20" ht="22.95" customHeight="1"/>
    <row r="21" ht="22.95" customHeight="1"/>
    <row r="22" ht="22.95" customHeight="1"/>
    <row r="23" ht="22.95" customHeight="1"/>
    <row r="24" ht="22.95" customHeight="1"/>
    <row r="25" ht="22.95" customHeight="1" thickBot="1"/>
    <row r="26" ht="22.1" customHeight="1" thickBot="1"/>
    <row r="27" ht="22.95" customHeight="1"/>
    <row r="28" ht="49.95" customHeight="1"/>
    <row r="29" ht="35" customHeight="1"/>
    <row r="30" ht="22.95" customHeight="1"/>
    <row r="31" ht="22.95" customHeight="1"/>
    <row r="32" ht="22.95" customHeight="1"/>
    <row r="33" ht="22.95" customHeight="1"/>
    <row r="34" ht="22.95" customHeight="1"/>
    <row r="35" ht="22.95" customHeight="1" thickBot="1"/>
    <row r="36" ht="22.1" customHeight="1" thickBot="1"/>
    <row r="37" ht="22.95" customHeight="1"/>
    <row r="38" ht="22.95" customHeight="1"/>
    <row r="39" ht="22.95" customHeight="1"/>
    <row r="40" ht="22.95" customHeight="1"/>
    <row r="41" ht="22.95" customHeight="1"/>
    <row r="42" ht="22.95" customHeight="1"/>
    <row r="43" ht="22.95" customHeight="1"/>
    <row r="44" ht="22.95" customHeight="1" thickBot="1"/>
    <row r="45" ht="22.1" customHeight="1" thickBot="1"/>
    <row r="46" ht="22.95" customHeight="1"/>
    <row r="47" ht="22.95" customHeight="1"/>
    <row r="48" ht="22.95" customHeight="1" thickBot="1"/>
    <row r="49" ht="22.1" customHeight="1" thickBot="1"/>
    <row r="50" ht="22.95" customHeight="1"/>
    <row r="51" ht="35" customHeight="1"/>
    <row r="52" ht="22.95" customHeight="1"/>
    <row r="53" ht="22.95" customHeight="1"/>
    <row r="54" ht="35" customHeight="1"/>
    <row r="55" ht="22.95" customHeight="1" thickBot="1"/>
    <row r="56" ht="22.1" customHeight="1" thickBot="1"/>
    <row r="57" ht="80" customHeight="1"/>
    <row r="58" ht="22.95" customHeight="1"/>
    <row r="59" ht="22.95" customHeight="1"/>
    <row r="60" ht="35" customHeight="1"/>
    <row r="61" ht="22.95" customHeight="1"/>
    <row r="62" ht="22.95" customHeight="1" thickBot="1"/>
    <row r="63" ht="22.1" customHeight="1" thickBot="1"/>
    <row r="64" ht="22.95" customHeight="1"/>
    <row r="65" ht="65.05" customHeight="1"/>
    <row r="66" ht="22.95" customHeight="1"/>
    <row r="67" ht="22.95" customHeight="1"/>
    <row r="68" ht="22.95" customHeight="1" thickBot="1"/>
    <row r="69" ht="22.1" customHeight="1" thickBot="1"/>
    <row r="70" ht="35" customHeight="1"/>
    <row r="71" ht="22.95" customHeight="1"/>
    <row r="72" ht="22.95" customHeight="1" thickBot="1"/>
    <row r="73" ht="22.1" customHeight="1" thickBot="1"/>
    <row r="74" ht="22.95" customHeight="1"/>
    <row r="75" ht="22.95" customHeight="1"/>
    <row r="76" ht="22.95" customHeight="1"/>
    <row r="77" ht="22.95" customHeight="1"/>
    <row r="78" ht="22.95" customHeight="1"/>
    <row r="79" ht="22.95" customHeight="1"/>
    <row r="80" ht="22.95" customHeight="1"/>
    <row r="81" ht="22.95" customHeight="1"/>
    <row r="82" ht="22.95" customHeight="1"/>
    <row r="83" ht="22.95" customHeight="1"/>
    <row r="84" ht="22.95" customHeight="1"/>
    <row r="85" ht="22.95" customHeight="1"/>
    <row r="86" ht="22.95" customHeight="1"/>
    <row r="87" ht="22.95" customHeight="1"/>
    <row r="88" ht="22.95" customHeight="1"/>
    <row r="89" ht="22.95" customHeight="1"/>
    <row r="90" ht="22.95" customHeight="1"/>
    <row r="91" ht="22.95" customHeight="1"/>
  </sheetData>
  <mergeCells count="7">
    <mergeCell ref="C2:E2"/>
    <mergeCell ref="I2:K2"/>
    <mergeCell ref="F2:H2"/>
    <mergeCell ref="B2:B3"/>
    <mergeCell ref="A5:K5"/>
    <mergeCell ref="A2:A3"/>
    <mergeCell ref="A1:K1"/>
  </mergeCells>
  <printOptions horizontalCentered="1"/>
  <pageMargins left="0.7874015748031497" right="0.5905511811023623" top="0.7874015748031497" bottom="0.5511811023622047" header="0.3149606299212598" footer="0.3149606299212598"/>
  <pageSetup orientation="landscape" paperSize="9" scale="72" fitToHeight="0" fitToWidth="1"/>
  <headerFooter>
    <oddHeader>&amp;L&amp;12 (ПРИМЕР ЗАПОЛНЕНИЯ)&amp;R&amp;"Times New Roman,полужирный"&amp;12 ПРИЛОЖЕНИЕ А_x000a_Таблица 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1"/>
  <sheetViews>
    <sheetView workbookViewId="0">
      <selection activeCell="A1" sqref="A1"/>
    </sheetView>
  </sheetViews>
  <sheetFormatPr baseColWidth="8" defaultRowHeight="12.9"/>
  <cols>
    <col width="5.25" bestFit="1" customWidth="1" min="1" max="1"/>
    <col width="61.25" customWidth="1" min="2" max="2"/>
    <col width="13.5" customWidth="1" min="3" max="3"/>
    <col width="9.5" customWidth="1" min="4" max="4"/>
    <col width="16" customWidth="1" min="5" max="5"/>
    <col width="13.375" customWidth="1" min="6" max="6"/>
    <col width="9.75" customWidth="1" min="7" max="7"/>
    <col width="16" customWidth="1" min="8" max="8"/>
    <col width="15.125" customWidth="1" min="9" max="9"/>
    <col width="9.5" customWidth="1" min="10" max="10"/>
    <col width="16" customWidth="1" min="11" max="11"/>
  </cols>
  <sheetData>
    <row r="1" ht="35" customFormat="1" customHeight="1" s="4" thickBot="1">
      <c r="A1" s="48" t="inlineStr">
        <is>
          <t>Действительный годовой фонд времени работы оборудования</t>
        </is>
      </c>
    </row>
    <row r="2" ht="16.3" customHeight="1">
      <c r="A2" s="58" t="inlineStr">
        <is>
          <t>п/п</t>
        </is>
      </c>
      <c r="B2" s="58" t="inlineStr">
        <is>
          <t>Наименование оборудования</t>
        </is>
      </c>
      <c r="C2" s="49" t="inlineStr">
        <is>
          <t>При 1 смене</t>
        </is>
      </c>
      <c r="D2" s="60" t="n"/>
      <c r="E2" s="61" t="n"/>
      <c r="F2" s="49" t="inlineStr">
        <is>
          <t>При 2 сменах</t>
        </is>
      </c>
      <c r="G2" s="60" t="n"/>
      <c r="H2" s="61" t="n"/>
      <c r="I2" s="55" t="inlineStr">
        <is>
          <t>При 3 сменах</t>
        </is>
      </c>
      <c r="J2" s="60" t="n"/>
      <c r="K2" s="61" t="n"/>
    </row>
    <row r="3" ht="40.75" customHeight="1" thickBot="1">
      <c r="A3" s="62" t="n"/>
      <c r="B3" s="62" t="n"/>
      <c r="C3" s="5" t="inlineStr">
        <is>
          <t>Номинальный годовой фонд времени, час</t>
        </is>
      </c>
      <c r="D3" s="6" t="inlineStr">
        <is>
          <t>% потерь фонда времени</t>
        </is>
      </c>
      <c r="E3" s="7" t="inlineStr">
        <is>
          <t>Действительный годовой фонд времени, час</t>
        </is>
      </c>
      <c r="F3" s="5" t="inlineStr">
        <is>
          <t>Номинальный годовой фонд времени, час</t>
        </is>
      </c>
      <c r="G3" s="6" t="inlineStr">
        <is>
          <t>% потерь фонда времени</t>
        </is>
      </c>
      <c r="H3" s="7" t="inlineStr">
        <is>
          <t>Действительный годовой фонд времени, час</t>
        </is>
      </c>
      <c r="I3" s="5" t="inlineStr">
        <is>
          <t>Номинальный годовой фонд времени, час</t>
        </is>
      </c>
      <c r="J3" s="6" t="inlineStr">
        <is>
          <t>% потерь фонда времени</t>
        </is>
      </c>
      <c r="K3" s="7" t="inlineStr">
        <is>
          <t>Действительный годовой фонд времени, час</t>
        </is>
      </c>
    </row>
    <row r="4" ht="13.6" customHeight="1" thickBot="1">
      <c r="A4" s="35" t="n">
        <v>1</v>
      </c>
      <c r="B4" s="36" t="n">
        <v>2</v>
      </c>
      <c r="C4" s="37" t="n">
        <v>120</v>
      </c>
      <c r="D4" s="36" t="n">
        <v>4</v>
      </c>
      <c r="E4" s="37" t="n">
        <v>5</v>
      </c>
      <c r="F4" s="36" t="n">
        <v>240</v>
      </c>
      <c r="G4" s="37" t="n">
        <v>7</v>
      </c>
      <c r="H4" s="36" t="n">
        <v>8</v>
      </c>
      <c r="I4" s="37" t="n">
        <v>360</v>
      </c>
      <c r="J4" s="36" t="n">
        <v>10</v>
      </c>
      <c r="K4" s="38" t="n">
        <v>11</v>
      </c>
    </row>
    <row r="5" ht="22.1" customHeight="1" thickBot="1">
      <c r="A5" s="45">
        <f> ROMAN(1,0)&amp;". Кузнечно-прессовое оборудование"</f>
        <v/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4" t="n"/>
    </row>
    <row r="6" ht="22.95" customHeight="1">
      <c r="A6" s="65" t="n">
        <v>1</v>
      </c>
      <c r="B6" s="26" t="inlineStr">
        <is>
          <t>Кузнечно-прессовое оборудование, не вошедшее в пп. 2÷4</t>
        </is>
      </c>
      <c r="C6" s="11" t="n">
        <v>120</v>
      </c>
      <c r="D6" s="15" t="n">
        <v>3</v>
      </c>
      <c r="E6" s="40">
        <f>    IF( NOT( ISBLANK(D6)), C6-C6*D6/100,"")</f>
        <v/>
      </c>
      <c r="F6" s="11" t="n">
        <v>240</v>
      </c>
      <c r="G6" s="15" t="n">
        <v>4</v>
      </c>
      <c r="H6" s="40">
        <f>    IF( NOT( ISBLANK(G6)), F6-F6*G6/100,"")</f>
        <v/>
      </c>
      <c r="I6" s="16" t="n">
        <v>360</v>
      </c>
      <c r="J6" s="15" t="n">
        <v>6</v>
      </c>
      <c r="K6" s="40">
        <f>    IF( NOT( ISBLANK(J6)), I6-I6*J6/100,"")</f>
        <v/>
      </c>
      <c r="L6" s="10" t="n"/>
    </row>
    <row r="7" ht="65.05" customHeight="1">
      <c r="A7" s="67" t="n">
        <v>2</v>
      </c>
      <c r="B7" s="27" t="inlineStr">
        <is>
          <t>Уникальное кузнечно-прессовое oоборудование:
ковочные молоты с весом падающих частей свыше 5 т, штамповочные молоты с весом падающих частей свыше 10 т, горизонтально-ковочные машины, чеканочные прессы</t>
        </is>
      </c>
      <c r="C7" s="25" t="n">
        <v>120</v>
      </c>
      <c r="D7" s="2" t="n">
        <v>8</v>
      </c>
      <c r="E7" s="41">
        <f> IF( NOT( ISBLANK(D7)), C7-C7*D7/100,"")</f>
        <v/>
      </c>
      <c r="F7" s="25" t="n">
        <v>240</v>
      </c>
      <c r="G7" s="2" t="n">
        <v>10</v>
      </c>
      <c r="H7" s="41">
        <f>    IF( NOT( ISBLANK(G7)), F7-F7*G7/100,"")</f>
        <v/>
      </c>
      <c r="I7" s="17" t="n">
        <v>360</v>
      </c>
      <c r="J7" s="2" t="n">
        <v>12</v>
      </c>
      <c r="K7" s="41">
        <f> IF( NOT( ISBLANK(J7)), I7-I7*J7/100,"")</f>
        <v/>
      </c>
      <c r="L7" s="10" t="n"/>
    </row>
    <row r="8" ht="22.95" customHeight="1">
      <c r="A8" s="67" t="n">
        <v>3</v>
      </c>
      <c r="B8" s="28" t="inlineStr">
        <is>
          <t>Прессы ковочные усилием свыше 315 т до 800 т</t>
        </is>
      </c>
      <c r="C8" s="25" t="n">
        <v>120</v>
      </c>
      <c r="D8" s="2" t="n">
        <v>6</v>
      </c>
      <c r="E8" s="41">
        <f> IF( NOT( ISBLANK(D8)), C8-C8*D8/100,"")</f>
        <v/>
      </c>
      <c r="F8" s="25" t="n">
        <v>240</v>
      </c>
      <c r="G8" s="2" t="n">
        <v>8</v>
      </c>
      <c r="H8" s="41">
        <f> IF( NOT( ISBLANK(G8)), F8-F8*G8/100,"")</f>
        <v/>
      </c>
      <c r="I8" s="17" t="n">
        <v>360</v>
      </c>
      <c r="J8" s="2" t="n">
        <v>10</v>
      </c>
      <c r="K8" s="41">
        <f> IF( NOT( ISBLANK(J8)), I8-I8*J8/100,"")</f>
        <v/>
      </c>
      <c r="L8" s="10" t="n"/>
    </row>
    <row r="9" ht="22.95" customHeight="1">
      <c r="A9" s="67" t="n">
        <v>4</v>
      </c>
      <c r="B9" s="28" t="inlineStr">
        <is>
          <t>Прессы ковочные усилием свыше 800 т</t>
        </is>
      </c>
      <c r="C9" s="25" t="n">
        <v>120</v>
      </c>
      <c r="D9" s="2" t="n">
        <v>8</v>
      </c>
      <c r="E9" s="41">
        <f> IF( NOT( ISBLANK(D9)), C9-C9*D9/100,"")</f>
        <v/>
      </c>
      <c r="F9" s="25" t="n">
        <v>240</v>
      </c>
      <c r="G9" s="2" t="n">
        <v>10</v>
      </c>
      <c r="H9" s="41">
        <f> IF( NOT( ISBLANK(G9)), F9-F9*G9/100,"")</f>
        <v/>
      </c>
      <c r="I9" s="17" t="n">
        <v>360</v>
      </c>
      <c r="J9" s="2" t="n">
        <v>12</v>
      </c>
      <c r="K9" s="41">
        <f> IF( NOT( ISBLANK(J9)), I9-I9*J9/100,"")</f>
        <v/>
      </c>
      <c r="L9" s="10" t="n"/>
    </row>
    <row r="10" ht="22.95" customHeight="1" thickBot="1">
      <c r="A10" s="67" t="inlineStr">
        <is>
          <t>…</t>
        </is>
      </c>
      <c r="B10" s="39" t="inlineStr">
        <is>
          <t>…</t>
        </is>
      </c>
      <c r="C10" s="25" t="inlineStr">
        <is>
          <t>…</t>
        </is>
      </c>
      <c r="D10" s="2" t="n"/>
      <c r="E10" s="41">
        <f>    IF( NOT( ISBLANK(D10)), C10-C10*D10/100,"")</f>
        <v/>
      </c>
      <c r="F10" s="25" t="inlineStr">
        <is>
          <t>…</t>
        </is>
      </c>
      <c r="G10" s="2" t="n"/>
      <c r="H10" s="41">
        <f>    IF( NOT( ISBLANK(G10)), F10-F10*G10/100,"")</f>
        <v/>
      </c>
      <c r="I10" s="17" t="inlineStr">
        <is>
          <t>…</t>
        </is>
      </c>
      <c r="J10" s="2" t="n"/>
      <c r="K10" s="41">
        <f>    IF( NOT( ISBLANK(J10)), I10-I10*J10/100,"")</f>
        <v/>
      </c>
      <c r="L10" s="10" t="n"/>
    </row>
    <row r="11" ht="22.1" customHeight="1" thickBot="1">
      <c r="A11" s="45">
        <f>ROMAN(2,0)&amp;". Заготовительно-штамповочное оборудование (листовая штамповка)"</f>
        <v/>
      </c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4" t="n"/>
    </row>
    <row r="12" ht="22.95" customHeight="1">
      <c r="A12" s="65" t="n">
        <v>1</v>
      </c>
      <c r="B12" s="29" t="inlineStr">
        <is>
          <t>Заготовительное оборудование (ножницы, вальцы и т. д.)</t>
        </is>
      </c>
      <c r="C12" s="11" t="n">
        <v>120</v>
      </c>
      <c r="D12" s="15" t="n">
        <v>2</v>
      </c>
      <c r="E12" s="40">
        <f>    IF( NOT( ISBLANK(D12)), C12-C12*D12/100,"")</f>
        <v/>
      </c>
      <c r="F12" s="11" t="n">
        <v>240</v>
      </c>
      <c r="G12" s="15" t="n">
        <v>3</v>
      </c>
      <c r="H12" s="40">
        <f>    IF( NOT( ISBLANK(G12)), F12-F12*G12/100,"")</f>
        <v/>
      </c>
      <c r="I12" s="16" t="n">
        <v>360</v>
      </c>
      <c r="J12" s="15" t="n">
        <v>4</v>
      </c>
      <c r="K12" s="40">
        <f> IF( NOT( ISBLANK(J12)), I12-I12*J12/100,"")</f>
        <v/>
      </c>
      <c r="L12" s="10" t="n"/>
    </row>
    <row r="13" ht="22.95" customHeight="1">
      <c r="A13" s="67" t="n">
        <v>2</v>
      </c>
      <c r="B13" s="30" t="inlineStr">
        <is>
          <t>Лазерные комплексы плоского раскроя</t>
        </is>
      </c>
      <c r="C13" s="25" t="n">
        <v>120</v>
      </c>
      <c r="D13" s="2" t="n">
        <v>2</v>
      </c>
      <c r="E13" s="41">
        <f> IF( NOT( ISBLANK(D13)), C13-C13*D13/100,"")</f>
        <v/>
      </c>
      <c r="F13" s="25" t="n">
        <v>240</v>
      </c>
      <c r="G13" s="2" t="n">
        <v>3</v>
      </c>
      <c r="H13" s="41">
        <f> IF( NOT( ISBLANK(G13)), F13-F13*G13/100,"")</f>
        <v/>
      </c>
      <c r="I13" s="17" t="n">
        <v>360</v>
      </c>
      <c r="J13" s="2" t="n">
        <v>4</v>
      </c>
      <c r="K13" s="41">
        <f> IF( NOT( ISBLANK(J13)), I13-I13*J13/100,"")</f>
        <v/>
      </c>
      <c r="L13" s="10" t="n"/>
    </row>
    <row r="14" ht="22.95" customHeight="1">
      <c r="A14" s="67" t="n">
        <v>3</v>
      </c>
      <c r="B14" s="30" t="inlineStr">
        <is>
          <t>Лазерные комплексы объёмной резки</t>
        </is>
      </c>
      <c r="C14" s="25" t="n">
        <v>120</v>
      </c>
      <c r="D14" s="2" t="n">
        <v>6</v>
      </c>
      <c r="E14" s="41">
        <f> IF( NOT( ISBLANK(D14)), C14-C14*D14/100,"")</f>
        <v/>
      </c>
      <c r="F14" s="25" t="n">
        <v>240</v>
      </c>
      <c r="G14" s="2" t="n">
        <v>8</v>
      </c>
      <c r="H14" s="41">
        <f> IF( NOT( ISBLANK(G14)), F14-F14*G14/100,"")</f>
        <v/>
      </c>
      <c r="I14" s="17" t="n">
        <v>360</v>
      </c>
      <c r="J14" s="2" t="n">
        <v>10</v>
      </c>
      <c r="K14" s="41">
        <f> IF( NOT( ISBLANK(J14)), I14-I14*J14/100,"")</f>
        <v/>
      </c>
      <c r="L14" s="10" t="n"/>
    </row>
    <row r="15" ht="22.95" customHeight="1">
      <c r="A15" s="67" t="n">
        <v>4</v>
      </c>
      <c r="B15" s="30" t="inlineStr">
        <is>
          <t>Оборудование гидроабразивной резки</t>
        </is>
      </c>
      <c r="C15" s="25" t="n">
        <v>120</v>
      </c>
      <c r="D15" s="2" t="n">
        <v>4</v>
      </c>
      <c r="E15" s="41">
        <f> IF( NOT( ISBLANK(D15)), C15-C15*D15/100,"")</f>
        <v/>
      </c>
      <c r="F15" s="25" t="n">
        <v>240</v>
      </c>
      <c r="G15" s="2" t="n">
        <v>5</v>
      </c>
      <c r="H15" s="41">
        <f> IF( NOT( ISBLANK(G15)), F15-F15*G15/100,"")</f>
        <v/>
      </c>
      <c r="I15" s="17" t="n">
        <v>360</v>
      </c>
      <c r="J15" s="2" t="n">
        <v>6</v>
      </c>
      <c r="K15" s="41">
        <f> IF( NOT( ISBLANK(J15)), I15-I15*J15/100,"")</f>
        <v/>
      </c>
      <c r="L15" s="10" t="n"/>
    </row>
    <row r="16" ht="22.95" customHeight="1">
      <c r="A16" s="67" t="n">
        <v>5</v>
      </c>
      <c r="B16" s="30" t="inlineStr">
        <is>
          <t>Оборудование газовой, плазменной резки</t>
        </is>
      </c>
      <c r="C16" s="25" t="n">
        <v>120</v>
      </c>
      <c r="D16" s="2" t="n">
        <v>4</v>
      </c>
      <c r="E16" s="41">
        <f> IF( NOT( ISBLANK(D16)), C16-C16*D16/100,"")</f>
        <v/>
      </c>
      <c r="F16" s="25" t="n">
        <v>240</v>
      </c>
      <c r="G16" s="2" t="n">
        <v>5</v>
      </c>
      <c r="H16" s="41">
        <f> IF( NOT( ISBLANK(G16)), F16-F16*G16/100,"")</f>
        <v/>
      </c>
      <c r="I16" s="17" t="n">
        <v>360</v>
      </c>
      <c r="J16" s="2" t="n">
        <v>6</v>
      </c>
      <c r="K16" s="41">
        <f> IF( NOT( ISBLANK(J16)), I16-I16*J16/100,"")</f>
        <v/>
      </c>
      <c r="L16" s="10" t="n"/>
    </row>
    <row r="17" ht="22.95" customHeight="1">
      <c r="A17" s="67" t="n">
        <v>6</v>
      </c>
      <c r="B17" s="30" t="inlineStr">
        <is>
          <t>Прессы листогибочные  с ЧПУ</t>
        </is>
      </c>
      <c r="C17" s="25" t="n">
        <v>120</v>
      </c>
      <c r="D17" s="2" t="n">
        <v>3</v>
      </c>
      <c r="E17" s="41">
        <f> IF( NOT( ISBLANK(D17)), C17-C17*D17/100,"")</f>
        <v/>
      </c>
      <c r="F17" s="25" t="n">
        <v>240</v>
      </c>
      <c r="G17" s="2" t="n">
        <v>4</v>
      </c>
      <c r="H17" s="41">
        <f> IF( NOT( ISBLANK(G17)), F17-F17*G17/100,"")</f>
        <v/>
      </c>
      <c r="I17" s="17" t="n">
        <v>360</v>
      </c>
      <c r="J17" s="2" t="n">
        <v>5</v>
      </c>
      <c r="K17" s="41">
        <f> IF( NOT( ISBLANK(J17)), I17-I17*J17/100,"")</f>
        <v/>
      </c>
      <c r="L17" s="10" t="n"/>
    </row>
    <row r="18" ht="22.95" customHeight="1">
      <c r="A18" s="67" t="n">
        <v>7</v>
      </c>
      <c r="B18" s="30" t="inlineStr">
        <is>
          <t>Прессы вырубные с ЧПУ</t>
        </is>
      </c>
      <c r="C18" s="25" t="n">
        <v>120</v>
      </c>
      <c r="D18" s="2" t="n">
        <v>6</v>
      </c>
      <c r="E18" s="41">
        <f> IF( NOT( ISBLANK(D18)), C18-C18*D18/100,"")</f>
        <v/>
      </c>
      <c r="F18" s="25" t="n">
        <v>240</v>
      </c>
      <c r="G18" s="2" t="n">
        <v>8</v>
      </c>
      <c r="H18" s="41">
        <f> IF( NOT( ISBLANK(G18)), F18-F18*G18/100,"")</f>
        <v/>
      </c>
      <c r="I18" s="17" t="n">
        <v>360</v>
      </c>
      <c r="J18" s="2" t="n">
        <v>10</v>
      </c>
      <c r="K18" s="41">
        <f> IF( NOT( ISBLANK(J18)), I18-I18*J18/100,"")</f>
        <v/>
      </c>
      <c r="L18" s="10" t="n"/>
    </row>
    <row r="19" ht="22.95" customHeight="1">
      <c r="A19" s="67" t="n">
        <v>8</v>
      </c>
      <c r="B19" s="30" t="inlineStr">
        <is>
          <t>Изотермическая, пневмотермическая штамповка</t>
        </is>
      </c>
      <c r="C19" s="25" t="n">
        <v>120</v>
      </c>
      <c r="D19" s="2" t="n">
        <v>8</v>
      </c>
      <c r="E19" s="41">
        <f> IF( NOT( ISBLANK(D19)), C19-C19*D19/100,"")</f>
        <v/>
      </c>
      <c r="F19" s="25" t="n">
        <v>240</v>
      </c>
      <c r="G19" s="2" t="n">
        <v>10</v>
      </c>
      <c r="H19" s="41">
        <f> IF( NOT( ISBLANK(G19)), F19-F19*G19/100,"")</f>
        <v/>
      </c>
      <c r="I19" s="17" t="n">
        <v>360</v>
      </c>
      <c r="J19" s="2" t="n">
        <v>12</v>
      </c>
      <c r="K19" s="41">
        <f> IF( NOT( ISBLANK(J19)), I19-I19*J19/100,"")</f>
        <v/>
      </c>
      <c r="L19" s="10" t="n"/>
    </row>
    <row r="20" ht="22.95" customHeight="1">
      <c r="A20" s="67" t="n">
        <v>9</v>
      </c>
      <c r="B20" s="30" t="inlineStr">
        <is>
          <t>Раскатное, давильное оборудование</t>
        </is>
      </c>
      <c r="C20" s="25" t="n">
        <v>120</v>
      </c>
      <c r="D20" s="2" t="n">
        <v>8</v>
      </c>
      <c r="E20" s="41">
        <f> IF( NOT( ISBLANK(D20)), C20-C20*D20/100,"")</f>
        <v/>
      </c>
      <c r="F20" s="25" t="n">
        <v>240</v>
      </c>
      <c r="G20" s="2" t="n">
        <v>10</v>
      </c>
      <c r="H20" s="41">
        <f> IF( NOT( ISBLANK(G20)), F20-F20*G20/100,"")</f>
        <v/>
      </c>
      <c r="I20" s="17" t="n">
        <v>360</v>
      </c>
      <c r="J20" s="2" t="n">
        <v>12</v>
      </c>
      <c r="K20" s="41">
        <f> IF( NOT( ISBLANK(J20)), I20-I20*J20/100,"")</f>
        <v/>
      </c>
      <c r="L20" s="10" t="n"/>
    </row>
    <row r="21" ht="22.95" customHeight="1">
      <c r="A21" s="67" t="n">
        <v>10</v>
      </c>
      <c r="B21" s="30" t="inlineStr">
        <is>
          <t>Оборудование ручной формовки</t>
        </is>
      </c>
      <c r="C21" s="25" t="n">
        <v>120</v>
      </c>
      <c r="D21" s="2" t="n">
        <v>2</v>
      </c>
      <c r="E21" s="41">
        <f> IF( NOT( ISBLANK(D21)), C21-C21*D21/100,"")</f>
        <v/>
      </c>
      <c r="F21" s="25" t="n">
        <v>240</v>
      </c>
      <c r="G21" s="2" t="n">
        <v>3</v>
      </c>
      <c r="H21" s="41">
        <f> IF( NOT( ISBLANK(G21)), F21-F21*G21/100,"")</f>
        <v/>
      </c>
      <c r="I21" s="17" t="n">
        <v>360</v>
      </c>
      <c r="J21" s="2" t="n">
        <v>4</v>
      </c>
      <c r="K21" s="41">
        <f> IF( NOT( ISBLANK(J21)), I21-I21*J21/100,"")</f>
        <v/>
      </c>
      <c r="L21" s="10" t="n"/>
    </row>
    <row r="22" ht="22.95" customHeight="1">
      <c r="A22" s="67" t="n">
        <v>11</v>
      </c>
      <c r="B22" s="30" t="inlineStr">
        <is>
          <t>Прессы усилием до 315 т</t>
        </is>
      </c>
      <c r="C22" s="25" t="n">
        <v>120</v>
      </c>
      <c r="D22" s="2" t="n">
        <v>2</v>
      </c>
      <c r="E22" s="41">
        <f> IF( NOT( ISBLANK(D22)), C22-C22*D22/100,"")</f>
        <v/>
      </c>
      <c r="F22" s="25" t="n">
        <v>240</v>
      </c>
      <c r="G22" s="2" t="n">
        <v>3</v>
      </c>
      <c r="H22" s="41">
        <f> IF( NOT( ISBLANK(G22)), F22-F22*G22/100,"")</f>
        <v/>
      </c>
      <c r="I22" s="17" t="n">
        <v>360</v>
      </c>
      <c r="J22" s="2" t="n">
        <v>4</v>
      </c>
      <c r="K22" s="41">
        <f> IF( NOT( ISBLANK(J22)), I22-I22*J22/100,"")</f>
        <v/>
      </c>
      <c r="L22" s="10" t="n"/>
    </row>
    <row r="23" ht="22.95" customHeight="1">
      <c r="A23" s="67" t="n">
        <v>12</v>
      </c>
      <c r="B23" s="30" t="inlineStr">
        <is>
          <t>Прессы усилием свыше 315 т до 800 т</t>
        </is>
      </c>
      <c r="C23" s="25" t="n">
        <v>120</v>
      </c>
      <c r="D23" s="2" t="n">
        <v>5</v>
      </c>
      <c r="E23" s="41">
        <f> IF( NOT( ISBLANK(D23)), C23-C23*D23/100,"")</f>
        <v/>
      </c>
      <c r="F23" s="25" t="n">
        <v>240</v>
      </c>
      <c r="G23" s="2" t="n">
        <v>6</v>
      </c>
      <c r="H23" s="41">
        <f> IF( NOT( ISBLANK(G23)), F23-F23*G23/100,"")</f>
        <v/>
      </c>
      <c r="I23" s="17" t="n">
        <v>360</v>
      </c>
      <c r="J23" s="2" t="n">
        <v>9</v>
      </c>
      <c r="K23" s="41">
        <f> IF( NOT( ISBLANK(J23)), I23-I23*J23/100,"")</f>
        <v/>
      </c>
      <c r="L23" s="10" t="n"/>
    </row>
    <row r="24" ht="22.95" customHeight="1">
      <c r="A24" s="68" t="n">
        <v>13</v>
      </c>
      <c r="B24" s="31" t="inlineStr">
        <is>
          <t>Прессы усилием свыше 800 т</t>
        </is>
      </c>
      <c r="C24" s="19" t="n">
        <v>120</v>
      </c>
      <c r="D24" s="21" t="n">
        <v>8</v>
      </c>
      <c r="E24" s="42">
        <f> IF( NOT( ISBLANK(D24)), C24-C24*D24/100,"")</f>
        <v/>
      </c>
      <c r="F24" s="19" t="n">
        <v>240</v>
      </c>
      <c r="G24" s="21" t="n">
        <v>10</v>
      </c>
      <c r="H24" s="42">
        <f> IF( NOT( ISBLANK(G24)), F24-F24*G24/100,"")</f>
        <v/>
      </c>
      <c r="I24" s="22" t="n">
        <v>360</v>
      </c>
      <c r="J24" s="21" t="n">
        <v>12</v>
      </c>
      <c r="K24" s="42">
        <f> IF( NOT( ISBLANK(J24)), I24-I24*J24/100,"")</f>
        <v/>
      </c>
      <c r="L24" s="10" t="n"/>
    </row>
    <row r="25" ht="22.95" customHeight="1" thickBot="1">
      <c r="A25" s="67" t="inlineStr">
        <is>
          <t>…</t>
        </is>
      </c>
      <c r="B25" s="39" t="inlineStr">
        <is>
          <t>…</t>
        </is>
      </c>
      <c r="C25" s="25" t="inlineStr">
        <is>
          <t>…</t>
        </is>
      </c>
      <c r="D25" s="2" t="n"/>
      <c r="E25" s="41">
        <f> IF( NOT( ISBLANK(D25)), C25-C25*D25/100,"")</f>
        <v/>
      </c>
      <c r="F25" s="25" t="inlineStr">
        <is>
          <t>…</t>
        </is>
      </c>
      <c r="G25" s="2" t="n"/>
      <c r="H25" s="41">
        <f> IF( NOT( ISBLANK(G25)), F25-F25*G25/100,"")</f>
        <v/>
      </c>
      <c r="I25" s="17" t="inlineStr">
        <is>
          <t>…</t>
        </is>
      </c>
      <c r="J25" s="2" t="n"/>
      <c r="K25" s="41">
        <f> IF( NOT( ISBLANK(J25)), I25-I25*J25/100,"")</f>
        <v/>
      </c>
      <c r="L25" s="10" t="n"/>
    </row>
    <row r="26" ht="22.1" customHeight="1" thickBot="1">
      <c r="A26" s="69">
        <f>ROMAN(3,0)&amp;". Литейное оборудование"</f>
        <v/>
      </c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70" t="n"/>
    </row>
    <row r="27" ht="22.95" customHeight="1">
      <c r="A27" s="65" t="n">
        <v>1</v>
      </c>
      <c r="B27" s="29" t="inlineStr">
        <is>
          <t>Литейное оборудование цехов мелкосерийного и серийного производства</t>
        </is>
      </c>
      <c r="C27" s="11" t="n">
        <v>120</v>
      </c>
      <c r="D27" s="15" t="n">
        <v>2</v>
      </c>
      <c r="E27" s="40">
        <f>    IF( NOT( ISBLANK(D27)), C27-C27*D27/100,"")</f>
        <v/>
      </c>
      <c r="F27" s="11" t="n">
        <v>240</v>
      </c>
      <c r="G27" s="15" t="n">
        <v>4</v>
      </c>
      <c r="H27" s="40">
        <f>    IF( NOT( ISBLANK(G27)), F27-F27*G27/100,"")</f>
        <v/>
      </c>
      <c r="I27" s="16" t="n">
        <v>360</v>
      </c>
      <c r="J27" s="15" t="n">
        <v>6</v>
      </c>
      <c r="K27" s="40">
        <f> IF( NOT( ISBLANK(J27)), I27-I27*J27/100,"")</f>
        <v/>
      </c>
      <c r="L27" s="10" t="n"/>
    </row>
    <row r="28" ht="49.95" customHeight="1">
      <c r="A28" s="67" t="n">
        <v>2</v>
      </c>
      <c r="B28" s="30" t="inlineStr">
        <is>
          <t>То же, особо крупное и сложное оборудование (пескогидрокамеры, механизированные, дробемётные камеры и встряхивающие столы грузоподъёмностью свыше 10 т)</t>
        </is>
      </c>
      <c r="C28" s="25" t="n">
        <v>120</v>
      </c>
      <c r="D28" s="2" t="n">
        <v>8</v>
      </c>
      <c r="E28" s="41">
        <f> IF( NOT( ISBLANK(D28)), C28-C28*D28/100,"")</f>
        <v/>
      </c>
      <c r="F28" s="25" t="n">
        <v>240</v>
      </c>
      <c r="G28" s="2" t="n">
        <v>10</v>
      </c>
      <c r="H28" s="41">
        <f> IF( NOT( ISBLANK(G28)), F28-F28*G28/100,"")</f>
        <v/>
      </c>
      <c r="I28" s="17" t="n">
        <v>360</v>
      </c>
      <c r="J28" s="2" t="n">
        <v>12</v>
      </c>
      <c r="K28" s="41">
        <f> IF( NOT( ISBLANK(J28)), I28-I28*J28/100,"")</f>
        <v/>
      </c>
      <c r="L28" s="10" t="n"/>
    </row>
    <row r="29" ht="35" customHeight="1">
      <c r="A29" s="67" t="n">
        <v>3</v>
      </c>
      <c r="B29" s="30" t="inlineStr">
        <is>
          <t>Закрытые вагранки с подогревом дутья и очисткой газов, при одном подогревателе на две вагранки</t>
        </is>
      </c>
      <c r="C29" s="25" t="n">
        <v>120</v>
      </c>
      <c r="D29" s="2" t="n">
        <v>2</v>
      </c>
      <c r="E29" s="41">
        <f> IF( NOT( ISBLANK(D29)), C29-C29*D29/100,"")</f>
        <v/>
      </c>
      <c r="F29" s="25" t="n">
        <v>240</v>
      </c>
      <c r="G29" s="2" t="n">
        <v>6</v>
      </c>
      <c r="H29" s="41">
        <f> IF( NOT( ISBLANK(G29)), F29-F29*G29/100,"")</f>
        <v/>
      </c>
      <c r="I29" s="17" t="n">
        <v>360</v>
      </c>
      <c r="J29" s="2" t="n">
        <v>10</v>
      </c>
      <c r="K29" s="41">
        <f> IF( NOT( ISBLANK(J29)), I29-I29*J29/100,"")</f>
        <v/>
      </c>
      <c r="L29" s="10" t="n"/>
    </row>
    <row r="30" ht="22.95" customHeight="1">
      <c r="A30" s="67" t="n">
        <v>4</v>
      </c>
      <c r="B30" s="30" t="inlineStr">
        <is>
          <t>Дуговые электропечи для плавки стали и чугуна</t>
        </is>
      </c>
      <c r="C30" s="25" t="n">
        <v>120</v>
      </c>
      <c r="D30" s="2" t="n">
        <v>4</v>
      </c>
      <c r="E30" s="41">
        <f>    IF( NOT( ISBLANK(D30)), C30-C30*D30/100,"")</f>
        <v/>
      </c>
      <c r="F30" s="25" t="n">
        <v>240</v>
      </c>
      <c r="G30" s="2" t="n">
        <v>6</v>
      </c>
      <c r="H30" s="41">
        <f>    IF( NOT( ISBLANK(G30)), F30-F30*G30/100,"")</f>
        <v/>
      </c>
      <c r="I30" s="17" t="n">
        <v>360</v>
      </c>
      <c r="J30" s="2" t="n">
        <v>10</v>
      </c>
      <c r="K30" s="41">
        <f>    IF( NOT( ISBLANK(J30)), I30-I30*J30/100,"")</f>
        <v/>
      </c>
      <c r="L30" s="10" t="n"/>
    </row>
    <row r="31" ht="22.95" customHeight="1">
      <c r="A31" s="67" t="n">
        <v>5</v>
      </c>
      <c r="B31" s="30" t="inlineStr">
        <is>
          <t>Индукционные печи для плавки стали и чугуна</t>
        </is>
      </c>
      <c r="C31" s="25" t="n">
        <v>120</v>
      </c>
      <c r="D31" s="2" t="n">
        <v>4</v>
      </c>
      <c r="E31" s="41">
        <f>    IF( NOT( ISBLANK(D31)), C31-C31*D31/100,"")</f>
        <v/>
      </c>
      <c r="F31" s="25" t="n">
        <v>240</v>
      </c>
      <c r="G31" s="2" t="n">
        <v>6</v>
      </c>
      <c r="H31" s="41">
        <f>    IF( NOT( ISBLANK(G31)), F31-F31*G31/100,"")</f>
        <v/>
      </c>
      <c r="I31" s="17" t="n">
        <v>360</v>
      </c>
      <c r="J31" s="2" t="n">
        <v>10</v>
      </c>
      <c r="K31" s="41">
        <f>    IF( NOT( ISBLANK(J31)), I31-I31*J31/100,"")</f>
        <v/>
      </c>
      <c r="L31" s="10" t="n"/>
    </row>
    <row r="32" ht="22.95" customHeight="1">
      <c r="A32" s="67" t="n">
        <v>6</v>
      </c>
      <c r="B32" s="30" t="inlineStr">
        <is>
          <t>Печи плавильные для медных сплавов</t>
        </is>
      </c>
      <c r="C32" s="25" t="n">
        <v>120</v>
      </c>
      <c r="D32" s="2" t="n">
        <v>3</v>
      </c>
      <c r="E32" s="41">
        <f>    IF( NOT( ISBLANK(D32)), C32-C32*D32/100,"")</f>
        <v/>
      </c>
      <c r="F32" s="25" t="n">
        <v>240</v>
      </c>
      <c r="G32" s="2" t="n">
        <v>4</v>
      </c>
      <c r="H32" s="41">
        <f>    IF( NOT( ISBLANK(G32)), F32-F32*G32/100,"")</f>
        <v/>
      </c>
      <c r="I32" s="17" t="n">
        <v>360</v>
      </c>
      <c r="J32" s="2" t="n">
        <v>6</v>
      </c>
      <c r="K32" s="41">
        <f>    IF( NOT( ISBLANK(J32)), I32-I32*J32/100,"")</f>
        <v/>
      </c>
      <c r="L32" s="10" t="n"/>
    </row>
    <row r="33" ht="22.95" customHeight="1">
      <c r="A33" s="67" t="n">
        <v>7</v>
      </c>
      <c r="B33" s="30" t="inlineStr">
        <is>
          <t>Печи плавильные для алюминиевых к других лёгких сплавов</t>
        </is>
      </c>
      <c r="C33" s="25" t="n">
        <v>120</v>
      </c>
      <c r="D33" s="2" t="n">
        <v>3</v>
      </c>
      <c r="E33" s="41">
        <f>    IF( NOT( ISBLANK(D33)), C33-C33*D33/100,"")</f>
        <v/>
      </c>
      <c r="F33" s="25" t="n">
        <v>240</v>
      </c>
      <c r="G33" s="2" t="n">
        <v>4</v>
      </c>
      <c r="H33" s="41">
        <f>    IF( NOT( ISBLANK(G33)), F33-F33*G33/100,"")</f>
        <v/>
      </c>
      <c r="I33" s="17" t="n">
        <v>360</v>
      </c>
      <c r="J33" s="2" t="n">
        <v>6</v>
      </c>
      <c r="K33" s="41">
        <f>    IF( NOT( ISBLANK(J33)), I33-I33*J33/100,"")</f>
        <v/>
      </c>
      <c r="L33" s="10" t="n"/>
    </row>
    <row r="34" ht="22.95" customHeight="1">
      <c r="A34" s="68" t="n">
        <v>8</v>
      </c>
      <c r="B34" s="31" t="inlineStr">
        <is>
          <t>Печи плавильные для титановых сплавов</t>
        </is>
      </c>
      <c r="C34" s="19" t="n">
        <v>120</v>
      </c>
      <c r="D34" s="21" t="n">
        <v>5</v>
      </c>
      <c r="E34" s="42">
        <f>    IF( NOT( ISBLANK(D34)), C34-C34*D34/100,"")</f>
        <v/>
      </c>
      <c r="F34" s="19" t="n">
        <v>240</v>
      </c>
      <c r="G34" s="21" t="n">
        <v>8</v>
      </c>
      <c r="H34" s="42">
        <f>    IF( NOT( ISBLANK(G34)), F34-F34*G34/100,"")</f>
        <v/>
      </c>
      <c r="I34" s="22" t="n">
        <v>360</v>
      </c>
      <c r="J34" s="21" t="n">
        <v>12</v>
      </c>
      <c r="K34" s="42">
        <f>    IF( NOT( ISBLANK(J34)), I34-I34*J34/100,"")</f>
        <v/>
      </c>
      <c r="L34" s="10" t="n"/>
    </row>
    <row r="35" ht="22.95" customHeight="1" thickBot="1">
      <c r="A35" s="67" t="inlineStr">
        <is>
          <t>…</t>
        </is>
      </c>
      <c r="B35" s="39" t="inlineStr">
        <is>
          <t>…</t>
        </is>
      </c>
      <c r="C35" s="25" t="inlineStr">
        <is>
          <t>…</t>
        </is>
      </c>
      <c r="D35" s="2" t="n"/>
      <c r="E35" s="41">
        <f> IF( NOT( ISBLANK(D35)), C35-C35*D35/100,"")</f>
        <v/>
      </c>
      <c r="F35" s="25" t="inlineStr">
        <is>
          <t>…</t>
        </is>
      </c>
      <c r="G35" s="2" t="n"/>
      <c r="H35" s="41">
        <f> IF( NOT( ISBLANK(G35)), F35-F35*G35/100,"")</f>
        <v/>
      </c>
      <c r="I35" s="17" t="inlineStr">
        <is>
          <t>…</t>
        </is>
      </c>
      <c r="J35" s="2" t="n"/>
      <c r="K35" s="41">
        <f> IF( NOT( ISBLANK(J35)), I35-I35*J35/100,"")</f>
        <v/>
      </c>
      <c r="L35" s="10" t="n"/>
    </row>
    <row r="36" ht="22.1" customHeight="1" thickBot="1">
      <c r="A36" s="45">
        <f>ROMAN(4,0)&amp;". Термическое оборудование"</f>
        <v/>
      </c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4" t="n"/>
    </row>
    <row r="37" ht="22.95" customHeight="1">
      <c r="A37" s="67" t="n">
        <v>1</v>
      </c>
      <c r="B37" s="30" t="inlineStr">
        <is>
          <t>Печи термические с длительным циклом работы</t>
        </is>
      </c>
      <c r="C37" s="25" t="n">
        <v>120</v>
      </c>
      <c r="D37" s="2" t="n">
        <v>4</v>
      </c>
      <c r="E37" s="41">
        <f>    IF( NOT( ISBLANK(D37)), C37-C37*D37/100,"")</f>
        <v/>
      </c>
      <c r="F37" s="25" t="n">
        <v>240</v>
      </c>
      <c r="G37" s="2" t="n">
        <v>6</v>
      </c>
      <c r="H37" s="41">
        <f>    IF( NOT( ISBLANK(G37)), F37-F37*G37/100,"")</f>
        <v/>
      </c>
      <c r="I37" s="17" t="n">
        <v>360</v>
      </c>
      <c r="J37" s="2" t="n">
        <v>10</v>
      </c>
      <c r="K37" s="41">
        <f> IF( NOT( ISBLANK(J37)), I37-I37*J37/100,"")</f>
        <v/>
      </c>
      <c r="L37" s="10" t="n"/>
    </row>
    <row r="38" ht="22.95" customHeight="1">
      <c r="A38" s="67" t="n">
        <v>2</v>
      </c>
      <c r="B38" s="30" t="inlineStr">
        <is>
          <t>Печи термические с коротким циклом работы:</t>
        </is>
      </c>
      <c r="C38" s="25" t="n"/>
      <c r="D38" s="2" t="n"/>
      <c r="E38" s="41" t="n"/>
      <c r="F38" s="25" t="n"/>
      <c r="G38" s="2" t="n"/>
      <c r="H38" s="41" t="n"/>
      <c r="I38" s="17" t="n"/>
      <c r="J38" s="2" t="n"/>
      <c r="K38" s="41" t="n"/>
      <c r="L38" s="10" t="n"/>
    </row>
    <row r="39" ht="22.95" customHeight="1">
      <c r="A39" s="23" t="n"/>
      <c r="B39" s="30" t="inlineStr">
        <is>
          <t>а) механизированные</t>
        </is>
      </c>
      <c r="C39" s="25" t="n">
        <v>120</v>
      </c>
      <c r="D39" s="2" t="n">
        <v>5</v>
      </c>
      <c r="E39" s="41">
        <f> IF( NOT( ISBLANK(D39)), C39-C39*D39/100,"")</f>
        <v/>
      </c>
      <c r="F39" s="25" t="n">
        <v>240</v>
      </c>
      <c r="G39" s="2" t="n">
        <v>7</v>
      </c>
      <c r="H39" s="41">
        <f> IF( NOT( ISBLANK(G39)), F39-F39*G39/100,"")</f>
        <v/>
      </c>
      <c r="I39" s="17" t="n">
        <v>360</v>
      </c>
      <c r="J39" s="2" t="n">
        <v>10</v>
      </c>
      <c r="K39" s="41">
        <f> IF( NOT( ISBLANK(J39)), I39-I39*J39/100,"")</f>
        <v/>
      </c>
      <c r="L39" s="10" t="n"/>
    </row>
    <row r="40" ht="22.95" customHeight="1">
      <c r="A40" s="23" t="n"/>
      <c r="B40" s="30" t="inlineStr">
        <is>
          <t>б) немеханизированные</t>
        </is>
      </c>
      <c r="C40" s="25" t="n">
        <v>120</v>
      </c>
      <c r="D40" s="2" t="n">
        <v>3</v>
      </c>
      <c r="E40" s="41">
        <f> IF( NOT( ISBLANK(D40)), C40-C40*D40/100,"")</f>
        <v/>
      </c>
      <c r="F40" s="25" t="n">
        <v>240</v>
      </c>
      <c r="G40" s="2" t="n">
        <v>4</v>
      </c>
      <c r="H40" s="41">
        <f> IF( NOT( ISBLANK(G40)), F40-F40*G40/100,"")</f>
        <v/>
      </c>
      <c r="I40" s="17" t="n">
        <v>360</v>
      </c>
      <c r="J40" s="2" t="n">
        <v>6</v>
      </c>
      <c r="K40" s="41">
        <f> IF( NOT( ISBLANK(J40)), I40-I40*J40/100,"")</f>
        <v/>
      </c>
      <c r="L40" s="10" t="n"/>
    </row>
    <row r="41" ht="22.95" customHeight="1">
      <c r="A41" s="67" t="n">
        <v>3</v>
      </c>
      <c r="B41" s="30" t="inlineStr">
        <is>
          <t>Печи термические электрические элеваторного типа</t>
        </is>
      </c>
      <c r="C41" s="25" t="n">
        <v>120</v>
      </c>
      <c r="D41" s="2" t="n">
        <v>3</v>
      </c>
      <c r="E41" s="41">
        <f> IF( NOT( ISBLANK(D41)), C41-C41*D41/100,"")</f>
        <v/>
      </c>
      <c r="F41" s="25" t="n">
        <v>240</v>
      </c>
      <c r="G41" s="2" t="n">
        <v>5</v>
      </c>
      <c r="H41" s="41">
        <f> IF( NOT( ISBLANK(G41)), F41-F41*G41/100,"")</f>
        <v/>
      </c>
      <c r="I41" s="17" t="n">
        <v>360</v>
      </c>
      <c r="J41" s="2" t="n">
        <v>8</v>
      </c>
      <c r="K41" s="41">
        <f> IF( NOT( ISBLANK(J41)), I41-I41*J41/100,"")</f>
        <v/>
      </c>
      <c r="L41" s="10" t="n"/>
    </row>
    <row r="42" ht="22.95" customHeight="1">
      <c r="A42" s="67" t="n">
        <v>4</v>
      </c>
      <c r="B42" s="30" t="inlineStr">
        <is>
          <t>Печи с непрерывным режимом работы</t>
        </is>
      </c>
      <c r="C42" s="25" t="n">
        <v>120</v>
      </c>
      <c r="D42" s="2" t="n">
        <v>5</v>
      </c>
      <c r="E42" s="41">
        <f> IF( NOT( ISBLANK(D42)), C42-C42*D42/100,"")</f>
        <v/>
      </c>
      <c r="F42" s="25" t="n">
        <v>240</v>
      </c>
      <c r="G42" s="2" t="n">
        <v>8</v>
      </c>
      <c r="H42" s="41">
        <f> IF( NOT( ISBLANK(G42)), F42-F42*G42/100,"")</f>
        <v/>
      </c>
      <c r="I42" s="17" t="n">
        <v>360</v>
      </c>
      <c r="J42" s="2" t="n">
        <v>11</v>
      </c>
      <c r="K42" s="41">
        <f> IF( NOT( ISBLANK(J42)), I42-I42*J42/100,"")</f>
        <v/>
      </c>
      <c r="L42" s="10" t="n"/>
    </row>
    <row r="43" ht="22.95" customHeight="1">
      <c r="A43" s="67" t="n">
        <v>5</v>
      </c>
      <c r="B43" s="30" t="inlineStr">
        <is>
          <t>Печи вакуумные</t>
        </is>
      </c>
      <c r="C43" s="25" t="n">
        <v>120</v>
      </c>
      <c r="D43" s="2" t="n">
        <v>6</v>
      </c>
      <c r="E43" s="41">
        <f> IF( NOT( ISBLANK(D43)), C43-C43*D43/100,"")</f>
        <v/>
      </c>
      <c r="F43" s="25" t="n">
        <v>240</v>
      </c>
      <c r="G43" s="2" t="n">
        <v>10</v>
      </c>
      <c r="H43" s="41">
        <f> IF( NOT( ISBLANK(G43)), F43-F43*G43/100,"")</f>
        <v/>
      </c>
      <c r="I43" s="17" t="n">
        <v>360</v>
      </c>
      <c r="J43" s="2" t="n">
        <v>12</v>
      </c>
      <c r="K43" s="41">
        <f> IF( NOT( ISBLANK(J43)), I43-I43*J43/100,"")</f>
        <v/>
      </c>
      <c r="L43" s="10" t="n"/>
    </row>
    <row r="44" ht="22.95" customHeight="1" thickBot="1">
      <c r="A44" s="67" t="inlineStr">
        <is>
          <t>…</t>
        </is>
      </c>
      <c r="B44" s="39" t="inlineStr">
        <is>
          <t>…</t>
        </is>
      </c>
      <c r="C44" s="25" t="inlineStr">
        <is>
          <t>…</t>
        </is>
      </c>
      <c r="D44" s="2" t="n"/>
      <c r="E44" s="41">
        <f> IF( NOT( ISBLANK(D44)), C44-C44*D44/100,"")</f>
        <v/>
      </c>
      <c r="F44" s="25" t="inlineStr">
        <is>
          <t>…</t>
        </is>
      </c>
      <c r="G44" s="2" t="n"/>
      <c r="H44" s="41">
        <f> IF( NOT( ISBLANK(G44)), F44-F44*G44/100,"")</f>
        <v/>
      </c>
      <c r="I44" s="17" t="inlineStr">
        <is>
          <t>…</t>
        </is>
      </c>
      <c r="J44" s="2" t="n"/>
      <c r="K44" s="41">
        <f> IF( NOT( ISBLANK(J44)), I44-I44*J44/100,"")</f>
        <v/>
      </c>
      <c r="L44" s="10" t="n"/>
    </row>
    <row r="45" ht="22.1" customHeight="1" thickBot="1">
      <c r="A45" s="45">
        <f>ROMAN(5,0)&amp;". Оборудование для нанесения защитных покрытий"</f>
        <v/>
      </c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4" t="n"/>
    </row>
    <row r="46" ht="22.95" customHeight="1">
      <c r="A46" s="65" t="n">
        <v>1</v>
      </c>
      <c r="B46" s="29" t="inlineStr">
        <is>
          <t>Оборудование неавтоматизированное</t>
        </is>
      </c>
      <c r="C46" s="11" t="n">
        <v>120</v>
      </c>
      <c r="D46" s="24" t="n">
        <v>2</v>
      </c>
      <c r="E46" s="43">
        <f> IF( NOT( ISBLANK(D46)), C46-C46*D46/100,"")</f>
        <v/>
      </c>
      <c r="F46" s="11" t="n">
        <v>240</v>
      </c>
      <c r="G46" s="15" t="n">
        <v>3</v>
      </c>
      <c r="H46" s="40">
        <f>    IF( NOT( ISBLANK(G46)), F46-F46*G46/100,"")</f>
        <v/>
      </c>
      <c r="I46" s="16" t="n">
        <v>360</v>
      </c>
      <c r="J46" s="15" t="n">
        <v>4</v>
      </c>
      <c r="K46" s="40" t="n">
        <v>5700</v>
      </c>
      <c r="L46" s="10" t="n"/>
    </row>
    <row r="47" ht="22.95" customHeight="1">
      <c r="A47" s="67" t="n">
        <v>2</v>
      </c>
      <c r="B47" s="30" t="inlineStr">
        <is>
          <t>Оборудование автоматизированное</t>
        </is>
      </c>
      <c r="C47" s="25" t="n">
        <v>120</v>
      </c>
      <c r="D47" s="2" t="n">
        <v>5</v>
      </c>
      <c r="E47" s="41">
        <f> IF( NOT( ISBLANK(D47)), C47-C47*D47/100,"")</f>
        <v/>
      </c>
      <c r="F47" s="25" t="n">
        <v>240</v>
      </c>
      <c r="G47" s="2" t="n">
        <v>8</v>
      </c>
      <c r="H47" s="41">
        <f> IF( NOT( ISBLANK(G47)), F47-F47*G47/100,"")</f>
        <v/>
      </c>
      <c r="I47" s="17" t="n">
        <v>360</v>
      </c>
      <c r="J47" s="2" t="n">
        <v>10</v>
      </c>
      <c r="K47" s="41">
        <f>    IF( NOT( ISBLANK(J47)), I47-I47*J47/100,"")</f>
        <v/>
      </c>
      <c r="L47" s="10" t="n"/>
    </row>
    <row r="48" ht="22.95" customHeight="1" thickBot="1">
      <c r="A48" s="67" t="inlineStr">
        <is>
          <t>…</t>
        </is>
      </c>
      <c r="B48" s="39" t="inlineStr">
        <is>
          <t>…</t>
        </is>
      </c>
      <c r="C48" s="25" t="inlineStr">
        <is>
          <t>…</t>
        </is>
      </c>
      <c r="D48" s="2" t="n"/>
      <c r="E48" s="41">
        <f>    IF( NOT( ISBLANK(D48)), C48-C48*D48/100,"")</f>
        <v/>
      </c>
      <c r="F48" s="25" t="inlineStr">
        <is>
          <t>…</t>
        </is>
      </c>
      <c r="G48" s="2" t="n"/>
      <c r="H48" s="41">
        <f> IF( NOT( ISBLANK(G48)), F48-F48*G48/100,"")</f>
        <v/>
      </c>
      <c r="I48" s="17" t="inlineStr">
        <is>
          <t>…</t>
        </is>
      </c>
      <c r="J48" s="2" t="n"/>
      <c r="K48" s="41">
        <f> IF( NOT( ISBLANK(J48)), I48-I48*J48/100,"")</f>
        <v/>
      </c>
      <c r="L48" s="10" t="n"/>
    </row>
    <row r="49" ht="22.1" customHeight="1" thickBot="1">
      <c r="A49" s="45">
        <f>ROMAN(6,0)&amp;". Оборудование для агрегатной и окончательной сборки"</f>
        <v/>
      </c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4" t="n"/>
    </row>
    <row r="50" ht="22.95" customHeight="1">
      <c r="A50" s="65" t="n">
        <v>1</v>
      </c>
      <c r="B50" s="29" t="inlineStr">
        <is>
          <t>Стапели, крупные приспособления</t>
        </is>
      </c>
      <c r="C50" s="11" t="n">
        <v>120</v>
      </c>
      <c r="D50" s="15" t="n">
        <v>2</v>
      </c>
      <c r="E50" s="40">
        <f> IF( NOT( ISBLANK(D50)), C50-C50*D50/100,"")</f>
        <v/>
      </c>
      <c r="F50" s="11" t="n">
        <v>240</v>
      </c>
      <c r="G50" s="15" t="n">
        <v>3</v>
      </c>
      <c r="H50" s="40">
        <f>    IF( NOT( ISBLANK(G50)), F50-F50*G50/100,"")</f>
        <v/>
      </c>
      <c r="I50" s="16" t="n">
        <v>360</v>
      </c>
      <c r="J50" s="15" t="n">
        <v>4</v>
      </c>
      <c r="K50" s="40">
        <f>    IF( NOT( ISBLANK(J50)), I50-I50*J50/100,"")</f>
        <v/>
      </c>
      <c r="L50" s="10" t="n"/>
    </row>
    <row r="51" ht="35" customHeight="1">
      <c r="A51" s="67" t="n">
        <v>2</v>
      </c>
      <c r="B51" s="30" t="inlineStr">
        <is>
          <t>Разделочные стенды, клепальные прессы,  сверлильно-зенковальные установки</t>
        </is>
      </c>
      <c r="C51" s="25" t="n">
        <v>120</v>
      </c>
      <c r="D51" s="2" t="n">
        <v>4</v>
      </c>
      <c r="E51" s="41">
        <f> IF( NOT( ISBLANK(D51)), C51-C51*D51/100,"")</f>
        <v/>
      </c>
      <c r="F51" s="25" t="n">
        <v>240</v>
      </c>
      <c r="G51" s="2" t="n">
        <v>6</v>
      </c>
      <c r="H51" s="41">
        <f> IF( NOT( ISBLANK(G51)), F51-F51*G51/100,"")</f>
        <v/>
      </c>
      <c r="I51" s="17" t="n">
        <v>360</v>
      </c>
      <c r="J51" s="2" t="n">
        <v>10</v>
      </c>
      <c r="K51" s="41">
        <f> IF( NOT( ISBLANK(J51)), I51-I51*J51/100,"")</f>
        <v/>
      </c>
      <c r="L51" s="10" t="n"/>
    </row>
    <row r="52" ht="22.95" customHeight="1">
      <c r="A52" s="67" t="n">
        <v>3</v>
      </c>
      <c r="B52" s="30" t="inlineStr">
        <is>
          <t>Конвейерные линии для сборки агрегатов и изделий</t>
        </is>
      </c>
      <c r="C52" s="25" t="n">
        <v>120</v>
      </c>
      <c r="D52" s="2" t="n">
        <v>2</v>
      </c>
      <c r="E52" s="41">
        <f> IF( NOT( ISBLANK(D52)), C52-C52*D52/100,"")</f>
        <v/>
      </c>
      <c r="F52" s="25" t="n">
        <v>240</v>
      </c>
      <c r="G52" s="2" t="n">
        <v>3</v>
      </c>
      <c r="H52" s="41">
        <f> IF( NOT( ISBLANK(G52)), F52-F52*G52/100,"")</f>
        <v/>
      </c>
      <c r="I52" s="17" t="n">
        <v>360</v>
      </c>
      <c r="J52" s="2" t="n">
        <v>4</v>
      </c>
      <c r="K52" s="41">
        <f> IF( NOT( ISBLANK(J52)), I52-I52*J52/100,"")</f>
        <v/>
      </c>
      <c r="L52" s="10" t="n"/>
    </row>
    <row r="53" ht="22.95" customHeight="1">
      <c r="A53" s="67" t="n">
        <v>4</v>
      </c>
      <c r="B53" s="30" t="inlineStr">
        <is>
          <t>Рабочие места для ручной клёпки, верстаки, столы</t>
        </is>
      </c>
      <c r="C53" s="25" t="n">
        <v>120</v>
      </c>
      <c r="D53" s="2" t="n">
        <v>1</v>
      </c>
      <c r="E53" s="41">
        <f> IF( NOT( ISBLANK(D53)), C53-C53*D53/100,"")</f>
        <v/>
      </c>
      <c r="F53" s="25" t="n">
        <v>240</v>
      </c>
      <c r="G53" s="2" t="n">
        <v>2</v>
      </c>
      <c r="H53" s="41">
        <f> IF( NOT( ISBLANK(G53)), F53-F53*G53/100,"")</f>
        <v/>
      </c>
      <c r="I53" s="17" t="n">
        <v>360</v>
      </c>
      <c r="J53" s="2" t="n">
        <v>2</v>
      </c>
      <c r="K53" s="41">
        <f> IF( NOT( ISBLANK(J53)), I53-I53*J53/100,"")</f>
        <v/>
      </c>
      <c r="L53" s="10" t="n"/>
    </row>
    <row r="54" ht="35" customHeight="1">
      <c r="A54" s="67" t="n">
        <v>5</v>
      </c>
      <c r="B54" s="30" t="inlineStr">
        <is>
          <t>Уникальные испытательные стенды, установки, пульты в сборочных и испытательных цехах, КИСах</t>
        </is>
      </c>
      <c r="C54" s="25" t="n">
        <v>120</v>
      </c>
      <c r="D54" s="2" t="n">
        <v>4</v>
      </c>
      <c r="E54" s="41">
        <f> IF( NOT( ISBLANK(D54)), C54-C54*D54/100,"")</f>
        <v/>
      </c>
      <c r="F54" s="25" t="n">
        <v>240</v>
      </c>
      <c r="G54" s="2" t="n">
        <v>6</v>
      </c>
      <c r="H54" s="41">
        <f> IF( NOT( ISBLANK(G54)), F54-F54*G54/100,"")</f>
        <v/>
      </c>
      <c r="I54" s="17" t="n">
        <v>360</v>
      </c>
      <c r="J54" s="2" t="n">
        <v>10</v>
      </c>
      <c r="K54" s="41">
        <f> IF( NOT( ISBLANK(J54)), I54-I54*J54/100,"")</f>
        <v/>
      </c>
      <c r="L54" s="10" t="n"/>
    </row>
    <row r="55" ht="22.95" customHeight="1" thickBot="1">
      <c r="A55" s="67" t="inlineStr">
        <is>
          <t>…</t>
        </is>
      </c>
      <c r="B55" s="39" t="inlineStr">
        <is>
          <t>…</t>
        </is>
      </c>
      <c r="C55" s="25" t="inlineStr">
        <is>
          <t>…</t>
        </is>
      </c>
      <c r="D55" s="2" t="n"/>
      <c r="E55" s="41">
        <f> IF( NOT( ISBLANK(D55)), C55-C55*D55/100,"")</f>
        <v/>
      </c>
      <c r="F55" s="25" t="inlineStr">
        <is>
          <t>…</t>
        </is>
      </c>
      <c r="G55" s="2" t="n"/>
      <c r="H55" s="41">
        <f> IF( NOT( ISBLANK(G55)), F55-F55*G55/100,"")</f>
        <v/>
      </c>
      <c r="I55" s="17" t="inlineStr">
        <is>
          <t>…</t>
        </is>
      </c>
      <c r="J55" s="2" t="n"/>
      <c r="K55" s="41">
        <f> IF( NOT( ISBLANK(J55)), I55-I55*J55/100,"")</f>
        <v/>
      </c>
      <c r="L55" s="10" t="n"/>
    </row>
    <row r="56" ht="22.1" customHeight="1" thickBot="1">
      <c r="A56" s="45">
        <f>ROMAN(7,0)&amp;". Сварочное оборудование"</f>
        <v/>
      </c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4" t="n"/>
    </row>
    <row r="57" ht="80" customHeight="1">
      <c r="A57" s="65" t="n">
        <v>1</v>
      </c>
      <c r="B57" s="32" t="inlineStr">
        <is>
          <t>Сварочное универсальное оборудование: автоматы и полуавтоматы для сварки в среде защитных газов и   под слоем  флюса; автоматы для электрошлаковой сварки; оборудование для наплавки металлов; машины для точечной и роликовой сварки до 400 кВА; машины; оборудование для сварки ультразвуком; оборудование для диффузной сварки</t>
        </is>
      </c>
      <c r="C57" s="11" t="n">
        <v>120</v>
      </c>
      <c r="D57" s="15" t="n">
        <v>3</v>
      </c>
      <c r="E57" s="40">
        <f>    IF( NOT( ISBLANK(D57)), C57-C57*D57/100,"")</f>
        <v/>
      </c>
      <c r="F57" s="11" t="n">
        <v>240</v>
      </c>
      <c r="G57" s="15" t="n">
        <v>5</v>
      </c>
      <c r="H57" s="40">
        <f>    IF( NOT( ISBLANK(G57)), F57-F57*G57/100,"")</f>
        <v/>
      </c>
      <c r="I57" s="16" t="n">
        <v>360</v>
      </c>
      <c r="J57" s="15" t="n">
        <v>7</v>
      </c>
      <c r="K57" s="40">
        <f> IF( NOT( ISBLANK(J57)), I57-I57*J57/100,"")</f>
        <v/>
      </c>
      <c r="L57" s="10" t="n"/>
    </row>
    <row r="58" ht="22.95" customHeight="1">
      <c r="A58" s="67" t="n">
        <v>2</v>
      </c>
      <c r="B58" s="33" t="inlineStr">
        <is>
          <t>Стапели сборки и сварки</t>
        </is>
      </c>
      <c r="C58" s="25" t="n">
        <v>120</v>
      </c>
      <c r="D58" s="2" t="n">
        <v>2</v>
      </c>
      <c r="E58" s="41">
        <f> IF( NOT( ISBLANK(D58)), C58-C58*D58/100,"")</f>
        <v/>
      </c>
      <c r="F58" s="25" t="n">
        <v>240</v>
      </c>
      <c r="G58" s="2" t="n">
        <v>3</v>
      </c>
      <c r="H58" s="41">
        <f> IF( NOT( ISBLANK(G58)), F58-F58*G58/100,"")</f>
        <v/>
      </c>
      <c r="I58" s="17" t="n">
        <v>360</v>
      </c>
      <c r="J58" s="2" t="n">
        <v>4</v>
      </c>
      <c r="K58" s="41">
        <f> IF( NOT( ISBLANK(J58)), I58-I58*J58/100,"")</f>
        <v/>
      </c>
      <c r="L58" s="10" t="n"/>
    </row>
    <row r="59" ht="22.95" customHeight="1">
      <c r="A59" s="67" t="n">
        <v>3</v>
      </c>
      <c r="B59" s="33" t="inlineStr">
        <is>
          <t>Машины для точечной и роликовой сварки свыше 400 кВА</t>
        </is>
      </c>
      <c r="C59" s="25" t="n">
        <v>120</v>
      </c>
      <c r="D59" s="2" t="n">
        <v>4</v>
      </c>
      <c r="E59" s="41">
        <f> IF( NOT( ISBLANK(D59)), C59-C59*D59/100,"")</f>
        <v/>
      </c>
      <c r="F59" s="25" t="n">
        <v>240</v>
      </c>
      <c r="G59" s="2" t="n">
        <v>6</v>
      </c>
      <c r="H59" s="41">
        <f> IF( NOT( ISBLANK(G59)), F59-F59*G59/100,"")</f>
        <v/>
      </c>
      <c r="I59" s="17" t="n">
        <v>360</v>
      </c>
      <c r="J59" s="3" t="n">
        <v>8</v>
      </c>
      <c r="K59" s="41">
        <f> IF( NOT( ISBLANK(J59)), I59-I59*J59/100,"")</f>
        <v/>
      </c>
      <c r="L59" s="10" t="n"/>
    </row>
    <row r="60" ht="35" customHeight="1">
      <c r="A60" s="67" t="n">
        <v>4</v>
      </c>
      <c r="B60" s="33" t="inlineStr">
        <is>
          <t>Сварочное оборудование электроннолучевой сварки, сварки давлением, стыковой сварки, лазерной сварки</t>
        </is>
      </c>
      <c r="C60" s="25" t="n">
        <v>120</v>
      </c>
      <c r="D60" s="2" t="n">
        <v>4</v>
      </c>
      <c r="E60" s="41">
        <f> IF( NOT( ISBLANK(D60)), C60-C60*D60/100,"")</f>
        <v/>
      </c>
      <c r="F60" s="25" t="n">
        <v>240</v>
      </c>
      <c r="G60" s="2" t="n">
        <v>7</v>
      </c>
      <c r="H60" s="41">
        <f> IF( NOT( ISBLANK(G60)), F60-F60*G60/100,"")</f>
        <v/>
      </c>
      <c r="I60" s="17" t="n">
        <v>360</v>
      </c>
      <c r="J60" s="2" t="n">
        <v>10</v>
      </c>
      <c r="K60" s="41">
        <f> IF( NOT( ISBLANK(J60)), I60-I60*J60/100,"")</f>
        <v/>
      </c>
      <c r="L60" s="10" t="n"/>
    </row>
    <row r="61" ht="22.95" customHeight="1">
      <c r="A61" s="67" t="n">
        <v>5</v>
      </c>
      <c r="B61" s="33" t="inlineStr">
        <is>
          <t>Ручные способы сварки и резки</t>
        </is>
      </c>
      <c r="C61" s="25" t="n">
        <v>120</v>
      </c>
      <c r="D61" s="2" t="n">
        <v>1</v>
      </c>
      <c r="E61" s="41">
        <f> IF( NOT( ISBLANK(D61)), C61-C61*D61/100,"")</f>
        <v/>
      </c>
      <c r="F61" s="25" t="n">
        <v>240</v>
      </c>
      <c r="G61" s="2" t="n">
        <v>2</v>
      </c>
      <c r="H61" s="41">
        <f> IF( NOT( ISBLANK(G61)), F61-F61*G61/100,"")</f>
        <v/>
      </c>
      <c r="I61" s="17" t="n">
        <v>360</v>
      </c>
      <c r="J61" s="2" t="n">
        <v>2</v>
      </c>
      <c r="K61" s="41">
        <f> IF( NOT( ISBLANK(J61)), I61-I61*J61/100,"")</f>
        <v/>
      </c>
      <c r="L61" s="10" t="n"/>
    </row>
    <row r="62" ht="22.95" customHeight="1" thickBot="1">
      <c r="A62" s="67" t="inlineStr">
        <is>
          <t>…</t>
        </is>
      </c>
      <c r="B62" s="39" t="inlineStr">
        <is>
          <t>…</t>
        </is>
      </c>
      <c r="C62" s="25" t="inlineStr">
        <is>
          <t>…</t>
        </is>
      </c>
      <c r="D62" s="2" t="n"/>
      <c r="E62" s="41">
        <f> IF( NOT( ISBLANK(D62)), C62-C62*D62/100,"")</f>
        <v/>
      </c>
      <c r="F62" s="25" t="inlineStr">
        <is>
          <t>…</t>
        </is>
      </c>
      <c r="G62" s="2" t="n"/>
      <c r="H62" s="41">
        <f> IF( NOT( ISBLANK(G62)), F62-F62*G62/100,"")</f>
        <v/>
      </c>
      <c r="I62" s="17" t="inlineStr">
        <is>
          <t>…</t>
        </is>
      </c>
      <c r="J62" s="2" t="n"/>
      <c r="K62" s="41">
        <f>    IF( NOT( ISBLANK(J62)), I62-I62*J62/100,"")</f>
        <v/>
      </c>
      <c r="L62" s="10" t="n"/>
    </row>
    <row r="63" ht="22.1" customHeight="1" thickBot="1">
      <c r="A63" s="45">
        <f>ROMAN(8,0)&amp;". Металлорежущее металлообрабатывающее оборудование механических и механосборочных цехов"</f>
        <v/>
      </c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4" t="n"/>
    </row>
    <row r="64" ht="22.95" customHeight="1">
      <c r="A64" s="65" t="n">
        <v>1</v>
      </c>
      <c r="B64" s="29" t="inlineStr">
        <is>
          <t>Металлорежущее универсальное оборудование</t>
        </is>
      </c>
      <c r="C64" s="11" t="n">
        <v>120</v>
      </c>
      <c r="D64" s="15" t="n">
        <v>2</v>
      </c>
      <c r="E64" s="43">
        <f>    IF( NOT( ISBLANK(D64)), C64-C64*D64/100,"")</f>
        <v/>
      </c>
      <c r="F64" s="11" t="n">
        <v>240</v>
      </c>
      <c r="G64" s="24" t="n">
        <v>3</v>
      </c>
      <c r="H64" s="43">
        <f>    IF( NOT( ISBLANK(G64)), F64-F64*G64/100,"")</f>
        <v/>
      </c>
      <c r="I64" s="16" t="n">
        <v>360</v>
      </c>
      <c r="J64" s="15" t="n">
        <v>4</v>
      </c>
      <c r="K64" s="40">
        <f> IF( NOT( ISBLANK(J64)), I64-I64*J64/100,"")</f>
        <v/>
      </c>
      <c r="L64" s="10" t="n"/>
    </row>
    <row r="65" ht="65.05" customHeight="1">
      <c r="A65" s="67" t="n">
        <v>2</v>
      </c>
      <c r="B65" s="30" t="inlineStr">
        <is>
          <t>Станки с ЧПУ с количеством осей 4 и более; металлорежущие агрегатные станки, координатно-расточные, электроэрозионные, электрохимические, координатно-шлифовальные, резьбошлифовальные, шлифовально-заточные с ЧПУ</t>
        </is>
      </c>
      <c r="C65" s="25" t="n">
        <v>120</v>
      </c>
      <c r="D65" s="2" t="n">
        <v>4</v>
      </c>
      <c r="E65" s="44">
        <f> IF( NOT( ISBLANK(D65)), C65-C65*D65/100,"")</f>
        <v/>
      </c>
      <c r="F65" s="25" t="n">
        <v>240</v>
      </c>
      <c r="G65" s="2" t="n">
        <v>6</v>
      </c>
      <c r="H65" s="44">
        <f> IF( NOT( ISBLANK(G65)), F65-F65*G65/100,"")</f>
        <v/>
      </c>
      <c r="I65" s="17" t="n">
        <v>360</v>
      </c>
      <c r="J65" s="2" t="n">
        <v>10</v>
      </c>
      <c r="K65" s="41">
        <f> IF( NOT( ISBLANK(J65)), I65-I65*J65/100,"")</f>
        <v/>
      </c>
      <c r="L65" s="10" t="n"/>
    </row>
    <row r="66" ht="22.95" customHeight="1">
      <c r="A66" s="67" t="n">
        <v>3</v>
      </c>
      <c r="B66" s="30" t="inlineStr">
        <is>
          <t>Автоматические линии</t>
        </is>
      </c>
      <c r="C66" s="25" t="n">
        <v>120</v>
      </c>
      <c r="D66" s="2" t="n">
        <v>3</v>
      </c>
      <c r="E66" s="41">
        <f> IF( NOT( ISBLANK(D66)), C66-C66*D66/100,"")</f>
        <v/>
      </c>
      <c r="F66" s="25" t="n">
        <v>240</v>
      </c>
      <c r="G66" s="2" t="n">
        <v>5</v>
      </c>
      <c r="H66" s="41">
        <f> IF( NOT( ISBLANK(G66)), F66-F66*G66/100,"")</f>
        <v/>
      </c>
      <c r="I66" s="17" t="n">
        <v>360</v>
      </c>
      <c r="J66" s="2" t="n">
        <v>7</v>
      </c>
      <c r="K66" s="41">
        <f> IF( NOT( ISBLANK(J66)), I66-I66*J66/100,"")</f>
        <v/>
      </c>
      <c r="L66" s="10" t="n"/>
    </row>
    <row r="67" ht="22.95" customHeight="1">
      <c r="A67" s="67" t="n">
        <v>4</v>
      </c>
      <c r="B67" s="30" t="inlineStr">
        <is>
          <t>Станки с ЧПУ 3-координатные</t>
        </is>
      </c>
      <c r="C67" s="25" t="n">
        <v>120</v>
      </c>
      <c r="D67" s="2" t="n">
        <v>3</v>
      </c>
      <c r="E67" s="41">
        <f> IF( NOT( ISBLANK(D67)), C67-C67*D67/100,"")</f>
        <v/>
      </c>
      <c r="F67" s="25" t="n">
        <v>240</v>
      </c>
      <c r="G67" s="2" t="n">
        <v>5</v>
      </c>
      <c r="H67" s="41">
        <f> IF( NOT( ISBLANK(G67)), F67-F67*G67/100,"")</f>
        <v/>
      </c>
      <c r="I67" s="17" t="n">
        <v>360</v>
      </c>
      <c r="J67" s="2" t="n">
        <v>7</v>
      </c>
      <c r="K67" s="41">
        <f> IF( NOT( ISBLANK(J67)), I67-I67*J67/100,"")</f>
        <v/>
      </c>
      <c r="L67" s="10" t="n"/>
    </row>
    <row r="68" ht="22.95" customHeight="1" thickBot="1">
      <c r="A68" s="67" t="inlineStr">
        <is>
          <t>…</t>
        </is>
      </c>
      <c r="B68" s="39" t="inlineStr">
        <is>
          <t>…</t>
        </is>
      </c>
      <c r="C68" s="25" t="inlineStr">
        <is>
          <t>…</t>
        </is>
      </c>
      <c r="D68" s="2" t="n"/>
      <c r="E68" s="41">
        <f> IF( NOT( ISBLANK(D68)), C68-C68*D68/100,"")</f>
        <v/>
      </c>
      <c r="F68" s="25" t="inlineStr">
        <is>
          <t>…</t>
        </is>
      </c>
      <c r="G68" s="2" t="n"/>
      <c r="H68" s="41">
        <f> IF( NOT( ISBLANK(G68)), F68-F68*G68/100,"")</f>
        <v/>
      </c>
      <c r="I68" s="17" t="inlineStr">
        <is>
          <t>…</t>
        </is>
      </c>
      <c r="J68" s="2" t="n"/>
      <c r="K68" s="41">
        <f> IF( NOT( ISBLANK(J68)), I68-I68*J68/100,"")</f>
        <v/>
      </c>
      <c r="L68" s="10" t="n"/>
    </row>
    <row r="69" ht="22.1" customHeight="1" thickBot="1">
      <c r="A69" s="45">
        <f>ROMAN(9,0)&amp;". Деревообрабатывающее оборудование"</f>
        <v/>
      </c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4" t="n"/>
    </row>
    <row r="70" ht="35" customHeight="1">
      <c r="A70" s="65" t="inlineStr">
        <is>
          <t>1.</t>
        </is>
      </c>
      <c r="B70" s="34" t="inlineStr">
        <is>
          <t>Станки распиловочные, фуговальные, токарные и другие, лесосушильные камеры</t>
        </is>
      </c>
      <c r="C70" s="11" t="n">
        <v>120</v>
      </c>
      <c r="D70" s="15" t="n">
        <v>2</v>
      </c>
      <c r="E70" s="40">
        <f>    IF( NOT( ISBLANK(D70)), C70-C70*D70/100,"")</f>
        <v/>
      </c>
      <c r="F70" s="11" t="n">
        <v>240</v>
      </c>
      <c r="G70" s="15" t="n">
        <v>3</v>
      </c>
      <c r="H70" s="40">
        <f>    IF( NOT( ISBLANK(G70)), F70-F70*G70/100,"")</f>
        <v/>
      </c>
      <c r="I70" s="16" t="n">
        <v>360</v>
      </c>
      <c r="J70" s="24" t="n">
        <v>4</v>
      </c>
      <c r="K70" s="40">
        <f> IF( NOT( ISBLANK(J70)), I70-I70*J70/100,"")</f>
        <v/>
      </c>
      <c r="L70" s="10" t="n"/>
    </row>
    <row r="71" ht="22.95" customHeight="1">
      <c r="A71" s="67" t="inlineStr">
        <is>
          <t>2.</t>
        </is>
      </c>
      <c r="B71" s="30" t="inlineStr">
        <is>
          <t>Столярные верстаки и рабочие места без оборудования</t>
        </is>
      </c>
      <c r="C71" s="25" t="n">
        <v>120</v>
      </c>
      <c r="D71" s="2" t="n">
        <v>1</v>
      </c>
      <c r="E71" s="41">
        <f> IF( NOT( ISBLANK(D71)), C71-C71*D71/100,"")</f>
        <v/>
      </c>
      <c r="F71" s="25" t="n">
        <v>240</v>
      </c>
      <c r="G71" s="2" t="n">
        <v>2</v>
      </c>
      <c r="H71" s="41">
        <f> IF( NOT( ISBLANK(G71)), F71-F71*G71/100,"")</f>
        <v/>
      </c>
      <c r="I71" s="17" t="n">
        <v>360</v>
      </c>
      <c r="J71" s="2" t="n">
        <v>3</v>
      </c>
      <c r="K71" s="41">
        <f> IF( NOT( ISBLANK(J71)), I71-I71*J71/100,"")</f>
        <v/>
      </c>
      <c r="L71" s="10" t="n"/>
    </row>
    <row r="72" ht="22.95" customHeight="1" thickBot="1">
      <c r="A72" s="67" t="inlineStr">
        <is>
          <t>…</t>
        </is>
      </c>
      <c r="B72" s="39" t="inlineStr">
        <is>
          <t>…</t>
        </is>
      </c>
      <c r="C72" s="25" t="inlineStr">
        <is>
          <t>…</t>
        </is>
      </c>
      <c r="D72" s="2" t="n"/>
      <c r="E72" s="41">
        <f> IF( NOT( ISBLANK(D72)), C72-C72*D72/100,"")</f>
        <v/>
      </c>
      <c r="F72" s="25" t="inlineStr">
        <is>
          <t>…</t>
        </is>
      </c>
      <c r="G72" s="2" t="n"/>
      <c r="H72" s="41">
        <f> IF( NOT( ISBLANK(G72)), F72-F72*G72/100,"")</f>
        <v/>
      </c>
      <c r="I72" s="17" t="inlineStr">
        <is>
          <t>…</t>
        </is>
      </c>
      <c r="J72" s="2" t="n"/>
      <c r="K72" s="41">
        <f>    IF( NOT( ISBLANK(J72)), I72-I72*J72/100,"")</f>
        <v/>
      </c>
      <c r="L72" s="10" t="n"/>
    </row>
    <row r="73" ht="22.1" customHeight="1" thickBot="1">
      <c r="A73" s="45">
        <f>ROMAN(10,0)&amp;". ..."</f>
        <v/>
      </c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4" t="n"/>
    </row>
    <row r="74" ht="22.95" customHeight="1">
      <c r="A74" s="67" t="inlineStr">
        <is>
          <t>…</t>
        </is>
      </c>
      <c r="B74" s="39" t="inlineStr">
        <is>
          <t>…</t>
        </is>
      </c>
      <c r="C74" s="25" t="inlineStr">
        <is>
          <t>…</t>
        </is>
      </c>
      <c r="D74" s="2" t="n"/>
      <c r="E74" s="71">
        <f>    IF( NOT( ISBLANK(D74)), C74-C74*D74/100,"")</f>
        <v/>
      </c>
      <c r="F74" s="25" t="inlineStr">
        <is>
          <t>…</t>
        </is>
      </c>
      <c r="G74" s="2" t="n"/>
      <c r="H74" s="71">
        <f>    IF( NOT( ISBLANK(G74)), F74-F74*G74/100,"")</f>
        <v/>
      </c>
      <c r="I74" s="17" t="inlineStr">
        <is>
          <t>…</t>
        </is>
      </c>
      <c r="J74" s="2" t="n"/>
      <c r="K74" s="71">
        <f>    IF( NOT( ISBLANK(J74)), I74-I74*J74/100,"")</f>
        <v/>
      </c>
      <c r="L74" s="10" t="n"/>
    </row>
    <row r="75" ht="22.95" customHeight="1">
      <c r="A75" s="67" t="inlineStr">
        <is>
          <t>…</t>
        </is>
      </c>
      <c r="B75" s="39" t="inlineStr">
        <is>
          <t>…</t>
        </is>
      </c>
      <c r="C75" s="25" t="inlineStr">
        <is>
          <t>…</t>
        </is>
      </c>
      <c r="D75" s="2" t="n"/>
      <c r="E75" s="71">
        <f> IF( NOT( ISBLANK(D75)), C75-C75*D75/100,"")</f>
        <v/>
      </c>
      <c r="F75" s="25" t="inlineStr">
        <is>
          <t>…</t>
        </is>
      </c>
      <c r="G75" s="2" t="n"/>
      <c r="H75" s="71">
        <f> IF( NOT( ISBLANK(G75)), F75-F75*G75/100,"")</f>
        <v/>
      </c>
      <c r="I75" s="17" t="inlineStr">
        <is>
          <t>…</t>
        </is>
      </c>
      <c r="J75" s="2" t="n"/>
      <c r="K75" s="71">
        <f> IF( NOT( ISBLANK(J75)), I75-I75*J75/100,"")</f>
        <v/>
      </c>
      <c r="L75" s="10" t="n"/>
    </row>
    <row r="76" ht="22.95" customHeight="1">
      <c r="A76" s="67" t="inlineStr">
        <is>
          <t>…</t>
        </is>
      </c>
      <c r="B76" s="39" t="inlineStr">
        <is>
          <t>…</t>
        </is>
      </c>
      <c r="C76" s="25" t="inlineStr">
        <is>
          <t>…</t>
        </is>
      </c>
      <c r="D76" s="2" t="n"/>
      <c r="E76" s="71">
        <f>    IF( NOT( ISBLANK(D76)), C76-C76*D76/100,"")</f>
        <v/>
      </c>
      <c r="F76" s="25" t="inlineStr">
        <is>
          <t>…</t>
        </is>
      </c>
      <c r="G76" s="2" t="n"/>
      <c r="H76" s="71">
        <f>    IF( NOT( ISBLANK(G76)), F76-F76*G76/100,"")</f>
        <v/>
      </c>
      <c r="I76" s="17" t="inlineStr">
        <is>
          <t>…</t>
        </is>
      </c>
      <c r="J76" s="2" t="n"/>
      <c r="K76" s="71">
        <f>    IF( NOT( ISBLANK(J76)), I76-I76*J76/100,"")</f>
        <v/>
      </c>
      <c r="L76" s="10" t="n"/>
    </row>
    <row r="77" ht="22.95" customHeight="1">
      <c r="A77" s="67" t="inlineStr">
        <is>
          <t>…</t>
        </is>
      </c>
      <c r="B77" s="39" t="inlineStr">
        <is>
          <t>…</t>
        </is>
      </c>
      <c r="C77" s="25" t="inlineStr">
        <is>
          <t>…</t>
        </is>
      </c>
      <c r="D77" s="2" t="n"/>
      <c r="E77" s="71">
        <f> IF( NOT( ISBLANK(D77)), C77-C77*D77/100,"")</f>
        <v/>
      </c>
      <c r="F77" s="25" t="inlineStr">
        <is>
          <t>…</t>
        </is>
      </c>
      <c r="G77" s="2" t="n"/>
      <c r="H77" s="71">
        <f> IF( NOT( ISBLANK(G77)), F77-F77*G77/100,"")</f>
        <v/>
      </c>
      <c r="I77" s="17" t="inlineStr">
        <is>
          <t>…</t>
        </is>
      </c>
      <c r="J77" s="2" t="n"/>
      <c r="K77" s="71">
        <f> IF( NOT( ISBLANK(J77)), I77-I77*J77/100,"")</f>
        <v/>
      </c>
      <c r="L77" s="10" t="n"/>
    </row>
    <row r="78" ht="22.95" customHeight="1">
      <c r="A78" s="67" t="inlineStr">
        <is>
          <t>…</t>
        </is>
      </c>
      <c r="B78" s="39" t="inlineStr">
        <is>
          <t>…</t>
        </is>
      </c>
      <c r="C78" s="25" t="inlineStr">
        <is>
          <t>…</t>
        </is>
      </c>
      <c r="D78" s="2" t="n"/>
      <c r="E78" s="71">
        <f>    IF( NOT( ISBLANK(D78)), C78-C78*D78/100,"")</f>
        <v/>
      </c>
      <c r="F78" s="25" t="inlineStr">
        <is>
          <t>…</t>
        </is>
      </c>
      <c r="G78" s="2" t="n"/>
      <c r="H78" s="71">
        <f>    IF( NOT( ISBLANK(G78)), F78-F78*G78/100,"")</f>
        <v/>
      </c>
      <c r="I78" s="17" t="inlineStr">
        <is>
          <t>…</t>
        </is>
      </c>
      <c r="J78" s="2" t="n"/>
      <c r="K78" s="71">
        <f>    IF( NOT( ISBLANK(J78)), I78-I78*J78/100,"")</f>
        <v/>
      </c>
      <c r="L78" s="10" t="n"/>
    </row>
    <row r="79" ht="22.95" customHeight="1">
      <c r="A79" s="67" t="inlineStr">
        <is>
          <t>…</t>
        </is>
      </c>
      <c r="B79" s="39" t="inlineStr">
        <is>
          <t>…</t>
        </is>
      </c>
      <c r="C79" s="25" t="inlineStr">
        <is>
          <t>…</t>
        </is>
      </c>
      <c r="D79" s="2" t="n"/>
      <c r="E79" s="71">
        <f> IF( NOT( ISBLANK(D79)), C79-C79*D79/100,"")</f>
        <v/>
      </c>
      <c r="F79" s="25" t="inlineStr">
        <is>
          <t>…</t>
        </is>
      </c>
      <c r="G79" s="2" t="n"/>
      <c r="H79" s="71">
        <f> IF( NOT( ISBLANK(G79)), F79-F79*G79/100,"")</f>
        <v/>
      </c>
      <c r="I79" s="17" t="inlineStr">
        <is>
          <t>…</t>
        </is>
      </c>
      <c r="J79" s="2" t="n"/>
      <c r="K79" s="71">
        <f> IF( NOT( ISBLANK(J79)), I79-I79*J79/100,"")</f>
        <v/>
      </c>
      <c r="L79" s="10" t="n"/>
    </row>
    <row r="80" ht="22.95" customHeight="1">
      <c r="A80" s="67" t="inlineStr">
        <is>
          <t>…</t>
        </is>
      </c>
      <c r="B80" s="39" t="inlineStr">
        <is>
          <t>…</t>
        </is>
      </c>
      <c r="C80" s="25" t="inlineStr">
        <is>
          <t>…</t>
        </is>
      </c>
      <c r="D80" s="2" t="n"/>
      <c r="E80" s="71">
        <f> IF( NOT( ISBLANK(D80)), C80-C80*D80/100,"")</f>
        <v/>
      </c>
      <c r="F80" s="25" t="inlineStr">
        <is>
          <t>…</t>
        </is>
      </c>
      <c r="G80" s="2" t="n"/>
      <c r="H80" s="71">
        <f> IF( NOT( ISBLANK(G80)), F80-F80*G80/100,"")</f>
        <v/>
      </c>
      <c r="I80" s="17" t="inlineStr">
        <is>
          <t>…</t>
        </is>
      </c>
      <c r="J80" s="2" t="n"/>
      <c r="K80" s="71">
        <f> IF( NOT( ISBLANK(J80)), I80-I80*J80/100,"")</f>
        <v/>
      </c>
      <c r="L80" s="10" t="n"/>
    </row>
    <row r="81" ht="22.95" customHeight="1">
      <c r="A81" s="67" t="inlineStr">
        <is>
          <t>…</t>
        </is>
      </c>
      <c r="B81" s="39" t="inlineStr">
        <is>
          <t>…</t>
        </is>
      </c>
      <c r="C81" s="25" t="inlineStr">
        <is>
          <t>…</t>
        </is>
      </c>
      <c r="D81" s="2" t="n"/>
      <c r="E81" s="71">
        <f> IF( NOT( ISBLANK(D81)), C81-C81*D81/100,"")</f>
        <v/>
      </c>
      <c r="F81" s="25" t="inlineStr">
        <is>
          <t>…</t>
        </is>
      </c>
      <c r="G81" s="2" t="n"/>
      <c r="H81" s="71">
        <f> IF( NOT( ISBLANK(G81)), F81-F81*G81/100,"")</f>
        <v/>
      </c>
      <c r="I81" s="17" t="inlineStr">
        <is>
          <t>…</t>
        </is>
      </c>
      <c r="J81" s="2" t="n"/>
      <c r="K81" s="71">
        <f> IF( NOT( ISBLANK(J81)), I81-I81*J81/100,"")</f>
        <v/>
      </c>
      <c r="L81" s="10" t="n"/>
    </row>
    <row r="82" ht="22.95" customHeight="1">
      <c r="A82" s="67" t="inlineStr">
        <is>
          <t>…</t>
        </is>
      </c>
      <c r="B82" s="39" t="inlineStr">
        <is>
          <t>…</t>
        </is>
      </c>
      <c r="C82" s="25" t="inlineStr">
        <is>
          <t>…</t>
        </is>
      </c>
      <c r="D82" s="2" t="n"/>
      <c r="E82" s="71">
        <f>    IF( NOT( ISBLANK(D82)), C82-C82*D82/100,"")</f>
        <v/>
      </c>
      <c r="F82" s="25" t="inlineStr">
        <is>
          <t>…</t>
        </is>
      </c>
      <c r="G82" s="2" t="n"/>
      <c r="H82" s="71">
        <f>    IF( NOT( ISBLANK(G82)), F82-F82*G82/100,"")</f>
        <v/>
      </c>
      <c r="I82" s="17" t="inlineStr">
        <is>
          <t>…</t>
        </is>
      </c>
      <c r="J82" s="2" t="n"/>
      <c r="K82" s="71">
        <f>    IF( NOT( ISBLANK(J82)), I82-I82*J82/100,"")</f>
        <v/>
      </c>
      <c r="L82" s="10" t="n"/>
    </row>
    <row r="83" ht="22.95" customHeight="1">
      <c r="A83" s="67" t="inlineStr">
        <is>
          <t>…</t>
        </is>
      </c>
      <c r="B83" s="39" t="inlineStr">
        <is>
          <t>…</t>
        </is>
      </c>
      <c r="C83" s="25" t="inlineStr">
        <is>
          <t>…</t>
        </is>
      </c>
      <c r="D83" s="2" t="n"/>
      <c r="E83" s="71">
        <f> IF( NOT( ISBLANK(D83)), C83-C83*D83/100,"")</f>
        <v/>
      </c>
      <c r="F83" s="25" t="inlineStr">
        <is>
          <t>…</t>
        </is>
      </c>
      <c r="G83" s="2" t="n"/>
      <c r="H83" s="71">
        <f> IF( NOT( ISBLANK(G83)), F83-F83*G83/100,"")</f>
        <v/>
      </c>
      <c r="I83" s="17" t="inlineStr">
        <is>
          <t>…</t>
        </is>
      </c>
      <c r="J83" s="2" t="n"/>
      <c r="K83" s="71">
        <f> IF( NOT( ISBLANK(J83)), I83-I83*J83/100,"")</f>
        <v/>
      </c>
      <c r="L83" s="10" t="n"/>
    </row>
    <row r="84" ht="22.95" customHeight="1">
      <c r="A84" s="67" t="inlineStr">
        <is>
          <t>…</t>
        </is>
      </c>
      <c r="B84" s="39" t="inlineStr">
        <is>
          <t>…</t>
        </is>
      </c>
      <c r="C84" s="25" t="inlineStr">
        <is>
          <t>…</t>
        </is>
      </c>
      <c r="D84" s="2" t="n"/>
      <c r="E84" s="71">
        <f> IF( NOT( ISBLANK(D84)), C84-C84*D84/100,"")</f>
        <v/>
      </c>
      <c r="F84" s="25" t="inlineStr">
        <is>
          <t>…</t>
        </is>
      </c>
      <c r="G84" s="2" t="n"/>
      <c r="H84" s="71">
        <f> IF( NOT( ISBLANK(G84)), F84-F84*G84/100,"")</f>
        <v/>
      </c>
      <c r="I84" s="17" t="inlineStr">
        <is>
          <t>…</t>
        </is>
      </c>
      <c r="J84" s="2" t="n"/>
      <c r="K84" s="71">
        <f> IF( NOT( ISBLANK(J84)), I84-I84*J84/100,"")</f>
        <v/>
      </c>
      <c r="L84" s="10" t="n"/>
    </row>
    <row r="85" ht="22.95" customHeight="1">
      <c r="A85" s="67" t="inlineStr">
        <is>
          <t>…</t>
        </is>
      </c>
      <c r="B85" s="39" t="inlineStr">
        <is>
          <t>…</t>
        </is>
      </c>
      <c r="C85" s="25" t="inlineStr">
        <is>
          <t>…</t>
        </is>
      </c>
      <c r="D85" s="2" t="n"/>
      <c r="E85" s="71">
        <f> IF( NOT( ISBLANK(D85)), C85-C85*D85/100,"")</f>
        <v/>
      </c>
      <c r="F85" s="25" t="inlineStr">
        <is>
          <t>…</t>
        </is>
      </c>
      <c r="G85" s="2" t="n"/>
      <c r="H85" s="71">
        <f> IF( NOT( ISBLANK(G85)), F85-F85*G85/100,"")</f>
        <v/>
      </c>
      <c r="I85" s="17" t="inlineStr">
        <is>
          <t>…</t>
        </is>
      </c>
      <c r="J85" s="2" t="n"/>
      <c r="K85" s="71">
        <f> IF( NOT( ISBLANK(J85)), I85-I85*J85/100,"")</f>
        <v/>
      </c>
      <c r="L85" s="10" t="n"/>
    </row>
    <row r="86" ht="22.95" customHeight="1">
      <c r="A86" s="67" t="inlineStr">
        <is>
          <t>…</t>
        </is>
      </c>
      <c r="B86" s="39" t="inlineStr">
        <is>
          <t>…</t>
        </is>
      </c>
      <c r="C86" s="25" t="inlineStr">
        <is>
          <t>…</t>
        </is>
      </c>
      <c r="D86" s="2" t="n"/>
      <c r="E86" s="71">
        <f> IF( NOT( ISBLANK(D86)), C86-C86*D86/100,"")</f>
        <v/>
      </c>
      <c r="F86" s="25" t="inlineStr">
        <is>
          <t>…</t>
        </is>
      </c>
      <c r="G86" s="2" t="n"/>
      <c r="H86" s="71">
        <f> IF( NOT( ISBLANK(G86)), F86-F86*G86/100,"")</f>
        <v/>
      </c>
      <c r="I86" s="17" t="inlineStr">
        <is>
          <t>…</t>
        </is>
      </c>
      <c r="J86" s="2" t="n"/>
      <c r="K86" s="71">
        <f> IF( NOT( ISBLANK(J86)), I86-I86*J86/100,"")</f>
        <v/>
      </c>
      <c r="L86" s="10" t="n"/>
    </row>
    <row r="87" ht="22.95" customHeight="1">
      <c r="A87" s="67" t="inlineStr">
        <is>
          <t>…</t>
        </is>
      </c>
      <c r="B87" s="39" t="inlineStr">
        <is>
          <t>…</t>
        </is>
      </c>
      <c r="C87" s="25" t="inlineStr">
        <is>
          <t>…</t>
        </is>
      </c>
      <c r="D87" s="2" t="n"/>
      <c r="E87" s="71">
        <f> IF( NOT( ISBLANK(D87)), C87-C87*D87/100,"")</f>
        <v/>
      </c>
      <c r="F87" s="25" t="inlineStr">
        <is>
          <t>…</t>
        </is>
      </c>
      <c r="G87" s="2" t="n"/>
      <c r="H87" s="71">
        <f> IF( NOT( ISBLANK(G87)), F87-F87*G87/100,"")</f>
        <v/>
      </c>
      <c r="I87" s="17" t="inlineStr">
        <is>
          <t>…</t>
        </is>
      </c>
      <c r="J87" s="2" t="n"/>
      <c r="K87" s="71">
        <f> IF( NOT( ISBLANK(J87)), I87-I87*J87/100,"")</f>
        <v/>
      </c>
      <c r="L87" s="10" t="n"/>
    </row>
    <row r="88" ht="22.95" customHeight="1">
      <c r="A88" s="67" t="inlineStr">
        <is>
          <t>…</t>
        </is>
      </c>
      <c r="B88" s="39" t="inlineStr">
        <is>
          <t>…</t>
        </is>
      </c>
      <c r="C88" s="25" t="inlineStr">
        <is>
          <t>…</t>
        </is>
      </c>
      <c r="D88" s="2" t="n"/>
      <c r="E88" s="71">
        <f> IF( NOT( ISBLANK(D88)), C88-C88*D88/100,"")</f>
        <v/>
      </c>
      <c r="F88" s="25" t="inlineStr">
        <is>
          <t>…</t>
        </is>
      </c>
      <c r="G88" s="2" t="n"/>
      <c r="H88" s="71">
        <f> IF( NOT( ISBLANK(G88)), F88-F88*G88/100,"")</f>
        <v/>
      </c>
      <c r="I88" s="17" t="inlineStr">
        <is>
          <t>…</t>
        </is>
      </c>
      <c r="J88" s="2" t="n"/>
      <c r="K88" s="71">
        <f> IF( NOT( ISBLANK(J88)), I88-I88*J88/100,"")</f>
        <v/>
      </c>
      <c r="L88" s="10" t="n"/>
    </row>
    <row r="89" ht="22.95" customHeight="1">
      <c r="A89" s="67" t="inlineStr">
        <is>
          <t>…</t>
        </is>
      </c>
      <c r="B89" s="39" t="inlineStr">
        <is>
          <t>…</t>
        </is>
      </c>
      <c r="C89" s="25" t="inlineStr">
        <is>
          <t>…</t>
        </is>
      </c>
      <c r="D89" s="2" t="n"/>
      <c r="E89" s="71">
        <f> IF( NOT( ISBLANK(D89)), C89-C89*D89/100,"")</f>
        <v/>
      </c>
      <c r="F89" s="25" t="inlineStr">
        <is>
          <t>…</t>
        </is>
      </c>
      <c r="G89" s="2" t="n"/>
      <c r="H89" s="71">
        <f> IF( NOT( ISBLANK(G89)), F89-F89*G89/100,"")</f>
        <v/>
      </c>
      <c r="I89" s="17" t="inlineStr">
        <is>
          <t>…</t>
        </is>
      </c>
      <c r="J89" s="2" t="n"/>
      <c r="K89" s="71">
        <f> IF( NOT( ISBLANK(J89)), I89-I89*J89/100,"")</f>
        <v/>
      </c>
      <c r="L89" s="10" t="n"/>
    </row>
    <row r="90" ht="22.95" customHeight="1">
      <c r="A90" s="67" t="inlineStr">
        <is>
          <t>…</t>
        </is>
      </c>
      <c r="B90" s="39" t="inlineStr">
        <is>
          <t>…</t>
        </is>
      </c>
      <c r="C90" s="25" t="inlineStr">
        <is>
          <t>…</t>
        </is>
      </c>
      <c r="D90" s="2" t="n"/>
      <c r="E90" s="71">
        <f>    IF( NOT( ISBLANK(D90)), C90-C90*D90/100,"")</f>
        <v/>
      </c>
      <c r="F90" s="25" t="inlineStr">
        <is>
          <t>…</t>
        </is>
      </c>
      <c r="G90" s="2" t="n"/>
      <c r="H90" s="71">
        <f>    IF( NOT( ISBLANK(G90)), F90-F90*G90/100,"")</f>
        <v/>
      </c>
      <c r="I90" s="17" t="inlineStr">
        <is>
          <t>…</t>
        </is>
      </c>
      <c r="J90" s="2" t="n"/>
      <c r="K90" s="71">
        <f>    IF( NOT( ISBLANK(J90)), I90-I90*J90/100,"")</f>
        <v/>
      </c>
      <c r="L90" s="10" t="n"/>
    </row>
    <row r="91" ht="22.95" customHeight="1">
      <c r="A91" s="67" t="inlineStr">
        <is>
          <t>…</t>
        </is>
      </c>
      <c r="B91" s="39" t="inlineStr">
        <is>
          <t>…</t>
        </is>
      </c>
      <c r="C91" s="25" t="inlineStr">
        <is>
          <t>…</t>
        </is>
      </c>
      <c r="D91" s="2" t="n"/>
      <c r="E91" s="71">
        <f>    IF( NOT( ISBLANK(D91)), C91-C91*D91/100,"")</f>
        <v/>
      </c>
      <c r="F91" s="25" t="inlineStr">
        <is>
          <t>…</t>
        </is>
      </c>
      <c r="G91" s="2" t="n"/>
      <c r="H91" s="71">
        <f>    IF( NOT( ISBLANK(G91)), F91-F91*G91/100,"")</f>
        <v/>
      </c>
      <c r="I91" s="17" t="inlineStr">
        <is>
          <t>…</t>
        </is>
      </c>
      <c r="J91" s="2" t="n"/>
      <c r="K91" s="71">
        <f>    IF( NOT( ISBLANK(J91)), I91-I91*J91/100,"")</f>
        <v/>
      </c>
      <c r="L91" s="10" t="n"/>
    </row>
  </sheetData>
  <mergeCells count="16">
    <mergeCell ref="C2:E2"/>
    <mergeCell ref="A69:K69"/>
    <mergeCell ref="I2:K2"/>
    <mergeCell ref="A26:K26"/>
    <mergeCell ref="A73:K73"/>
    <mergeCell ref="A45:K45"/>
    <mergeCell ref="A49:K49"/>
    <mergeCell ref="A11:K11"/>
    <mergeCell ref="A63:K63"/>
    <mergeCell ref="F2:H2"/>
    <mergeCell ref="B2:B3"/>
    <mergeCell ref="A5:K5"/>
    <mergeCell ref="A36:K36"/>
    <mergeCell ref="A2:A3"/>
    <mergeCell ref="A1:K1"/>
    <mergeCell ref="A56:K56"/>
  </mergeCells>
  <printOptions horizontalCentered="1"/>
  <pageMargins left="0.7874015748031497" right="0.5905511811023623" top="0.7874015748031497" bottom="0.5511811023622047" header="0.3149606299212598" footer="0.3149606299212598"/>
  <pageSetup orientation="landscape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Предприятие</t>
        </is>
      </c>
      <c r="B1" t="inlineStr">
        <is>
          <t>Демонстрационное предприятие (синтетические данные)</t>
        </is>
      </c>
    </row>
    <row r="2">
      <c r="A2" t="inlineStr">
        <is>
          <t>Период</t>
        </is>
      </c>
      <c r="B2" t="inlineStr">
        <is>
          <t>2026-01</t>
        </is>
      </c>
    </row>
    <row r="3">
      <c r="A3" t="inlineStr">
        <is>
          <t>Методика</t>
        </is>
      </c>
      <c r="B3" t="inlineStr">
        <is>
          <t>1.0 — шаблоны пользователя</t>
        </is>
      </c>
    </row>
    <row r="4">
      <c r="A4" t="inlineStr">
        <is>
          <t>Дата UTC</t>
        </is>
      </c>
      <c r="B4" t="inlineStr">
        <is>
          <t>2026-10-26T11:41:58.850756+00:00</t>
        </is>
      </c>
    </row>
    <row r="5">
      <c r="A5" t="inlineStr">
        <is>
          <t>Статус</t>
        </is>
      </c>
      <c r="B5" t="inlineStr">
        <is>
          <t>CALCULATED</t>
        </is>
      </c>
    </row>
    <row r="6">
      <c r="A6" t="inlineStr">
        <is>
          <t>Календарь</t>
        </is>
      </c>
      <c r="B6" t="inlineStr">
        <is>
          <t>Федеральный календарь РФ, пятидневка 40 ч; переносы: постановление Правительства РФ от 24.09.2025 №1466</t>
        </is>
      </c>
    </row>
    <row r="7">
      <c r="A7" t="inlineStr">
        <is>
          <t>Режим мощности</t>
        </is>
      </c>
      <c r="B7" t="inlineStr">
        <is>
          <t>Постоянная структура программы</t>
        </is>
      </c>
    </row>
    <row r="8">
      <c r="A8" t="inlineStr">
        <is>
          <t>Замечания</t>
        </is>
      </c>
      <c r="B8" t="inlineStr">
        <is>
          <t>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Владимирович Смирнов</dc:creator>
  <dcterms:created xsi:type="dcterms:W3CDTF">2023-10-05T08:42:08Z</dcterms:created>
  <dcterms:modified xsi:type="dcterms:W3CDTF">2026-10-26T11:41:58Z</dcterms:modified>
  <cp:lastModifiedBy>Сергей Владимирович Смирнов</cp:lastModifiedBy>
  <cp:lastPrinted>2023-11-14T12:03:55Z</cp:lastPrinted>
</cp:coreProperties>
</file>